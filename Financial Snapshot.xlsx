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HP\Desktop\Project\"/>
    </mc:Choice>
  </mc:AlternateContent>
  <xr:revisionPtr revIDLastSave="0" documentId="13_ncr:1_{D3413240-B11A-4DD3-B7A4-0EC2621C0619}" xr6:coauthVersionLast="47" xr6:coauthVersionMax="47" xr10:uidLastSave="{00000000-0000-0000-0000-000000000000}"/>
  <bookViews>
    <workbookView xWindow="-98" yWindow="-98" windowWidth="19396" windowHeight="10395" activeTab="1" xr2:uid="{A8D6292F-AEB9-40A9-BE76-F99DE90FE352}"/>
  </bookViews>
  <sheets>
    <sheet name="Sheet1" sheetId="1" r:id="rId1"/>
    <sheet name="All_account" sheetId="3" r:id="rId2"/>
    <sheet name="Dashboard" sheetId="7" r:id="rId3"/>
  </sheets>
  <definedNames>
    <definedName name="NativeTimeline_Value_Date">#N/A</definedName>
    <definedName name="Slicer_Processing_Lag">#N/A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ount 1_81377a89-f029-4c0b-9e6e-68c61c30442b" name="Account 1" connection="Query - Account 1"/>
          <x15:modelTable id="Account 2_873efad7-e1a8-482d-b845-6ffc086c35a8" name="Account 2" connection="Query - Account 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3" l="1" a="1"/>
  <c r="D10"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9A151B-4A6D-406E-8263-B697ABF0A1FF}" name="Query - Account 1" description="Connection to the 'Account 1' query in the workbook." type="100" refreshedVersion="7" minRefreshableVersion="5">
    <extLst>
      <ext xmlns:x15="http://schemas.microsoft.com/office/spreadsheetml/2010/11/main" uri="{DE250136-89BD-433C-8126-D09CA5730AF9}">
        <x15:connection id="f919f99d-b22c-4420-a056-345029506e0a"/>
      </ext>
    </extLst>
  </connection>
  <connection id="2" xr16:uid="{FB16B3FA-634F-4B71-A480-59D4F2B0492C}" name="Query - Account 2" description="Connection to the 'Account 2' query in the workbook." type="100" refreshedVersion="7" minRefreshableVersion="5">
    <extLst>
      <ext xmlns:x15="http://schemas.microsoft.com/office/spreadsheetml/2010/11/main" uri="{DE250136-89BD-433C-8126-D09CA5730AF9}">
        <x15:connection id="d91290a0-875c-4bd4-9d0a-c865307d4555"/>
      </ext>
    </extLst>
  </connection>
  <connection id="3" xr16:uid="{FBBC86AC-A8F6-4C60-8981-529CEE4C592E}" keepAlive="1" name="Query - All_account" description="Connection to the 'All_account' query in the workbook." type="5" refreshedVersion="7" background="1">
    <dbPr connection="Provider=Microsoft.Mashup.OleDb.1;Data Source=$Workbook$;Location=All_account;Extended Properties=&quot;&quot;" command="SELECT * FROM [All_account]"/>
  </connection>
  <connection id="4" xr16:uid="{BC968900-E725-4239-87C8-9C8C94ED118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<sst xmlns="http://schemas.openxmlformats.org/spreadsheetml/2006/main" count="44" uniqueCount="35">
  <si>
    <t>Row Labels</t>
  </si>
  <si>
    <t>Airtime</t>
  </si>
  <si>
    <t>ALAWEE</t>
  </si>
  <si>
    <t>Income</t>
  </si>
  <si>
    <t>Others</t>
  </si>
  <si>
    <t>POS</t>
  </si>
  <si>
    <t>Transfer Received</t>
  </si>
  <si>
    <t>Transfer Sent</t>
  </si>
  <si>
    <t>VAT</t>
  </si>
  <si>
    <t>Grand Total</t>
  </si>
  <si>
    <t>Count of Balance (NGN)</t>
  </si>
  <si>
    <t>Sum of Debit</t>
  </si>
  <si>
    <t>Sum of Credit</t>
  </si>
  <si>
    <t>Count of Transaction Categories</t>
  </si>
  <si>
    <t>Count of Transaction Mode</t>
  </si>
  <si>
    <t>January</t>
  </si>
  <si>
    <t>February</t>
  </si>
  <si>
    <t>March</t>
  </si>
  <si>
    <t>April</t>
  </si>
  <si>
    <t>May</t>
  </si>
  <si>
    <t>June</t>
  </si>
  <si>
    <t>July</t>
  </si>
  <si>
    <t>August</t>
  </si>
  <si>
    <t>September</t>
  </si>
  <si>
    <t>October</t>
  </si>
  <si>
    <t>November</t>
  </si>
  <si>
    <t>December</t>
  </si>
  <si>
    <t>Credit</t>
  </si>
  <si>
    <t>Debit</t>
  </si>
  <si>
    <t>Sum of Total Transaction Amount</t>
  </si>
  <si>
    <t>Delay</t>
  </si>
  <si>
    <t>Early</t>
  </si>
  <si>
    <t>Same day</t>
  </si>
  <si>
    <t>Sum of Net Movemt</t>
  </si>
  <si>
    <t>Sum of Net Movement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</si>
</sst>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6A]* #,##0_-;\-[$₦-46A]* #,##0_-;_-[$₦-46A]* &quot;-&quot;_-;_-@_-"/>
    <numFmt numFmtId="165" formatCode="[$₦-46A]#,##0;\-[$₦-46A]#,##0"/>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applyAlignment="1">
      <alignment horizontal="center" vertical="top"/>
    </xf>
    <xf numFmtId="0" fontId="0" fillId="2" borderId="0" xfId="0" applyFill="1"/>
  </cellXfs>
  <cellStyles count="1">
    <cellStyle name="Normal" xfId="0" builtinId="0"/>
  </cellStyles>
  <dxfs count="14">
    <dxf>
      <numFmt numFmtId="164" formatCode="_-[$₦-46A]* #,##0_-;\-[$₦-46A]* #,##0_-;_-[$₦-46A]* &quot;-&quot;_-;_-@_-"/>
    </dxf>
    <dxf>
      <numFmt numFmtId="0" formatCode="General"/>
    </dxf>
    <dxf>
      <numFmt numFmtId="164" formatCode="_-[$₦-46A]* #,##0_-;\-[$₦-46A]* #,##0_-;_-[$₦-46A]* &quot;-&quot;_-;_-@_-"/>
    </dxf>
    <dxf>
      <numFmt numFmtId="164" formatCode="_-[$₦-46A]* #,##0_-;\-[$₦-46A]* #,##0_-;_-[$₦-46A]* &quot;-&quot;_-;_-@_-"/>
    </dxf>
    <dxf>
      <numFmt numFmtId="0" formatCode="General"/>
    </dxf>
    <dxf>
      <numFmt numFmtId="165" formatCode="[$₦-46A]#,##0;\-[$₦-46A]#,##0"/>
    </dxf>
    <dxf>
      <alignment horizontal="center"/>
    </dxf>
    <dxf>
      <alignment vertical="top"/>
    </dxf>
    <dxf>
      <numFmt numFmtId="34" formatCode="_(&quot;$&quot;* #,##0.00_);_(&quot;$&quot;* \(#,##0.00\);_(&quot;$&quot;* &quot;-&quot;??_);_(@_)"/>
    </dxf>
    <dxf>
      <numFmt numFmtId="164" formatCode="_-[$₦-46A]* #,##0_-;\-[$₦-46A]* #,##0_-;_-[$₦-46A]* &quot;-&quot;_-;_-@_-"/>
    </dxf>
    <dxf>
      <numFmt numFmtId="14" formatCode="0.00%"/>
    </dxf>
    <dxf>
      <numFmt numFmtId="164" formatCode="_-[$₦-46A]* #,##0_-;\-[$₦-46A]* #,##0_-;_-[$₦-46A]* &quot;-&quot;_-;_-@_-"/>
    </dxf>
    <dxf>
      <numFmt numFmtId="164" formatCode="_-[$₦-46A]* #,##0_-;\-[$₦-46A]* #,##0_-;_-[$₦-46A]* &quot;-&quot;_-;_-@_-"/>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Transactions by Categories</a:t>
            </a:r>
          </a:p>
        </c:rich>
      </c:tx>
      <c:layout>
        <c:manualLayout>
          <c:xMode val="edge"/>
          <c:yMode val="edge"/>
          <c:x val="0.20257148320036159"/>
          <c:y val="5.1275854448249326E-4"/>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8021692652656832"/>
          <c:y val="0.17034472903973097"/>
          <c:w val="0.82126211585756503"/>
          <c:h val="0.72088764946048411"/>
        </c:manualLayout>
      </c:layout>
      <c:scatterChart>
        <c:scatterStyle val="lineMarker"/>
        <c:varyColors val="0"/>
        <c:ser>
          <c:idx val="0"/>
          <c:order val="0"/>
          <c:tx>
            <c:strRef>
              <c:f>All_account!$E$10</c:f>
              <c:strCache>
                <c:ptCount val="1"/>
                <c:pt idx="0">
                  <c:v>Sum of Total Transaction Amount</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Lbls>
            <c:dLbl>
              <c:idx val="0"/>
              <c:layout>
                <c:manualLayout>
                  <c:x val="0.125"/>
                  <c:y val="-4.6296296296296294E-3"/>
                </c:manualLayout>
              </c:layout>
              <c:tx>
                <c:rich>
                  <a:bodyPr/>
                  <a:lstStyle/>
                  <a:p>
                    <a:fld id="{96C30C0B-1079-4F96-94D7-610AA12BE7E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0AF-4F6E-ACEE-BDF6EDFAE954}"/>
                </c:ext>
              </c:extLst>
            </c:dLbl>
            <c:dLbl>
              <c:idx val="1"/>
              <c:layout>
                <c:manualLayout>
                  <c:x val="2.5000000000000001E-2"/>
                  <c:y val="0.14351851851851852"/>
                </c:manualLayout>
              </c:layout>
              <c:tx>
                <c:rich>
                  <a:bodyPr/>
                  <a:lstStyle/>
                  <a:p>
                    <a:fld id="{433A9BD7-C747-404B-ACF7-8D315183083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0AF-4F6E-ACEE-BDF6EDFAE954}"/>
                </c:ext>
              </c:extLst>
            </c:dLbl>
            <c:dLbl>
              <c:idx val="2"/>
              <c:layout>
                <c:manualLayout>
                  <c:x val="-0.20277777777777778"/>
                  <c:y val="-1.3888888888888888E-2"/>
                </c:manualLayout>
              </c:layout>
              <c:tx>
                <c:rich>
                  <a:bodyPr/>
                  <a:lstStyle/>
                  <a:p>
                    <a:fld id="{5FC759E1-E9FD-479D-849E-040D4D10B95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0AF-4F6E-ACEE-BDF6EDFAE954}"/>
                </c:ext>
              </c:extLst>
            </c:dLbl>
            <c:dLbl>
              <c:idx val="3"/>
              <c:layout>
                <c:manualLayout>
                  <c:x val="-9.4444444444444497E-2"/>
                  <c:y val="-0.12037037037037036"/>
                </c:manualLayout>
              </c:layout>
              <c:tx>
                <c:rich>
                  <a:bodyPr/>
                  <a:lstStyle/>
                  <a:p>
                    <a:fld id="{4A4E012D-802A-44EE-9079-D1D0E2173DF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0AF-4F6E-ACEE-BDF6EDFAE954}"/>
                </c:ext>
              </c:extLst>
            </c:dLbl>
            <c:dLbl>
              <c:idx val="4"/>
              <c:layout>
                <c:manualLayout>
                  <c:x val="-6.3888888888888884E-2"/>
                  <c:y val="-0.12500000000000008"/>
                </c:manualLayout>
              </c:layout>
              <c:tx>
                <c:rich>
                  <a:bodyPr/>
                  <a:lstStyle/>
                  <a:p>
                    <a:fld id="{AD3132E1-49BD-47DE-B03D-4AA8E456266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0AF-4F6E-ACEE-BDF6EDFAE954}"/>
                </c:ext>
              </c:extLst>
            </c:dLbl>
            <c:dLbl>
              <c:idx val="5"/>
              <c:layout>
                <c:manualLayout>
                  <c:x val="-6.3888888888888884E-2"/>
                  <c:y val="-0.29629629629629628"/>
                </c:manualLayout>
              </c:layout>
              <c:tx>
                <c:rich>
                  <a:bodyPr/>
                  <a:lstStyle/>
                  <a:p>
                    <a:fld id="{782CFD33-024C-4D33-A0A7-4DFFAE4D969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0AF-4F6E-ACEE-BDF6EDFAE954}"/>
                </c:ext>
              </c:extLst>
            </c:dLbl>
            <c:dLbl>
              <c:idx val="6"/>
              <c:layout>
                <c:manualLayout>
                  <c:x val="-4.1666666666666664E-2"/>
                  <c:y val="-0.17129629629629639"/>
                </c:manualLayout>
              </c:layout>
              <c:tx>
                <c:rich>
                  <a:bodyPr/>
                  <a:lstStyle/>
                  <a:p>
                    <a:fld id="{35B5808A-9141-41BB-B4F4-E06A90838CF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0AF-4F6E-ACEE-BDF6EDFAE954}"/>
                </c:ext>
              </c:extLst>
            </c:dLbl>
            <c:dLbl>
              <c:idx val="7"/>
              <c:layout>
                <c:manualLayout>
                  <c:x val="-2.2222222222222223E-2"/>
                  <c:y val="-0.1111111111111111"/>
                </c:manualLayout>
              </c:layout>
              <c:tx>
                <c:rich>
                  <a:bodyPr/>
                  <a:lstStyle/>
                  <a:p>
                    <a:fld id="{3030690F-9656-44C3-A74D-D2ADDEBF551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0AF-4F6E-ACEE-BDF6EDFAE9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lt1">
                          <a:lumMod val="50000"/>
                        </a:schemeClr>
                      </a:solidFill>
                      <a:round/>
                    </a:ln>
                    <a:effectLst/>
                  </c:spPr>
                </c15:leaderLines>
              </c:ext>
            </c:extLst>
          </c:dLbls>
          <c:xVal>
            <c:strRef>
              <c:f>All_account!$D$11:$D$18</c:f>
              <c:strCache>
                <c:ptCount val="8"/>
                <c:pt idx="0">
                  <c:v>Transfer Sent</c:v>
                </c:pt>
                <c:pt idx="1">
                  <c:v>Transfer Received</c:v>
                </c:pt>
                <c:pt idx="2">
                  <c:v>ALAWEE</c:v>
                </c:pt>
                <c:pt idx="3">
                  <c:v>POS</c:v>
                </c:pt>
                <c:pt idx="4">
                  <c:v>Income</c:v>
                </c:pt>
                <c:pt idx="5">
                  <c:v>Airtime</c:v>
                </c:pt>
                <c:pt idx="6">
                  <c:v>Others</c:v>
                </c:pt>
                <c:pt idx="7">
                  <c:v>VAT</c:v>
                </c:pt>
              </c:strCache>
            </c:strRef>
          </c:xVal>
          <c:yVal>
            <c:numRef>
              <c:f>All_account!$E$11:$E$18</c:f>
              <c:numCache>
                <c:formatCode>_-[$₦-46A]* #,##0_-;\-[$₦-46A]* #,##0_-;_-[$₦-46A]* "-"_-;_-@_-</c:formatCode>
                <c:ptCount val="8"/>
                <c:pt idx="0">
                  <c:v>6364547.769999994</c:v>
                </c:pt>
                <c:pt idx="1">
                  <c:v>5744020</c:v>
                </c:pt>
                <c:pt idx="2">
                  <c:v>586600</c:v>
                </c:pt>
                <c:pt idx="3">
                  <c:v>81000</c:v>
                </c:pt>
                <c:pt idx="4">
                  <c:v>43989.35</c:v>
                </c:pt>
                <c:pt idx="5">
                  <c:v>12838.459999999988</c:v>
                </c:pt>
                <c:pt idx="6">
                  <c:v>1750.06</c:v>
                </c:pt>
                <c:pt idx="7">
                  <c:v>1667.96</c:v>
                </c:pt>
              </c:numCache>
            </c:numRef>
          </c:yVal>
          <c:smooth val="0"/>
          <c:extLst>
            <c:ext xmlns:c15="http://schemas.microsoft.com/office/drawing/2012/chart" uri="{02D57815-91ED-43cb-92C2-25804820EDAC}">
              <c15:datalabelsRange>
                <c15:f>All_account!$D$11:$D$18</c15:f>
                <c15:dlblRangeCache>
                  <c:ptCount val="8"/>
                  <c:pt idx="0">
                    <c:v>Transfer Sent</c:v>
                  </c:pt>
                  <c:pt idx="1">
                    <c:v>Transfer Received</c:v>
                  </c:pt>
                  <c:pt idx="2">
                    <c:v>ALAWEE</c:v>
                  </c:pt>
                  <c:pt idx="3">
                    <c:v>POS</c:v>
                  </c:pt>
                  <c:pt idx="4">
                    <c:v>Income</c:v>
                  </c:pt>
                  <c:pt idx="5">
                    <c:v>Airtime</c:v>
                  </c:pt>
                  <c:pt idx="6">
                    <c:v>Others</c:v>
                  </c:pt>
                  <c:pt idx="7">
                    <c:v>VAT</c:v>
                  </c:pt>
                </c15:dlblRangeCache>
              </c15:datalabelsRange>
            </c:ext>
            <c:ext xmlns:c16="http://schemas.microsoft.com/office/drawing/2014/chart" uri="{C3380CC4-5D6E-409C-BE32-E72D297353CC}">
              <c16:uniqueId val="{00000008-C0AF-4F6E-ACEE-BDF6EDFAE954}"/>
            </c:ext>
          </c:extLst>
        </c:ser>
        <c:dLbls>
          <c:dLblPos val="r"/>
          <c:showLegendKey val="0"/>
          <c:showVal val="1"/>
          <c:showCatName val="1"/>
          <c:showSerName val="0"/>
          <c:showPercent val="0"/>
          <c:showBubbleSize val="0"/>
        </c:dLbls>
        <c:axId val="112135120"/>
        <c:axId val="112137616"/>
      </c:scatterChart>
      <c:valAx>
        <c:axId val="112135120"/>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137616"/>
        <c:crosses val="autoZero"/>
        <c:crossBetween val="midCat"/>
      </c:valAx>
      <c:valAx>
        <c:axId val="11213761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quot;K&quot;"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135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5.xlsx]All_account!PivotTable14</c:name>
    <c:fmtId val="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Transaction</a:t>
            </a:r>
            <a:r>
              <a:rPr lang="en-US" sz="1400" baseline="0"/>
              <a:t> &amp;Processing Insight</a:t>
            </a:r>
            <a:endParaRPr lang="en-US" sz="1400"/>
          </a:p>
        </c:rich>
      </c:tx>
      <c:layout>
        <c:manualLayout>
          <c:xMode val="edge"/>
          <c:yMode val="edge"/>
          <c:x val="0.15574142394222035"/>
          <c:y val="0"/>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All_account!$B$23</c:f>
              <c:strCache>
                <c:ptCount val="1"/>
                <c:pt idx="0">
                  <c:v>Sum of Total Transaction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All_account!$A$24:$A$27</c:f>
              <c:strCache>
                <c:ptCount val="3"/>
                <c:pt idx="0">
                  <c:v>Delay</c:v>
                </c:pt>
                <c:pt idx="1">
                  <c:v>Early</c:v>
                </c:pt>
                <c:pt idx="2">
                  <c:v>Same day</c:v>
                </c:pt>
              </c:strCache>
            </c:strRef>
          </c:cat>
          <c:val>
            <c:numRef>
              <c:f>All_account!$B$24:$B$27</c:f>
              <c:numCache>
                <c:formatCode>_-[$₦-46A]* #,##0_-;\-[$₦-46A]* #,##0_-;_-[$₦-46A]* "-"_-;_-@_-</c:formatCode>
                <c:ptCount val="3"/>
                <c:pt idx="0">
                  <c:v>134061.52000000002</c:v>
                </c:pt>
                <c:pt idx="1">
                  <c:v>4700.0599999999995</c:v>
                </c:pt>
                <c:pt idx="2">
                  <c:v>12697652.019999992</c:v>
                </c:pt>
              </c:numCache>
            </c:numRef>
          </c:val>
          <c:extLst>
            <c:ext xmlns:c16="http://schemas.microsoft.com/office/drawing/2014/chart" uri="{C3380CC4-5D6E-409C-BE32-E72D297353CC}">
              <c16:uniqueId val="{00000000-E7F8-4E7F-B9F3-C63CACB61ACC}"/>
            </c:ext>
          </c:extLst>
        </c:ser>
        <c:dLbls>
          <c:showLegendKey val="0"/>
          <c:showVal val="0"/>
          <c:showCatName val="0"/>
          <c:showSerName val="0"/>
          <c:showPercent val="0"/>
          <c:showBubbleSize val="0"/>
        </c:dLbls>
        <c:gapWidth val="219"/>
        <c:overlap val="-27"/>
        <c:axId val="1694920927"/>
        <c:axId val="1694919263"/>
      </c:barChart>
      <c:lineChart>
        <c:grouping val="standard"/>
        <c:varyColors val="0"/>
        <c:ser>
          <c:idx val="1"/>
          <c:order val="1"/>
          <c:tx>
            <c:strRef>
              <c:f>All_account!$C$23</c:f>
              <c:strCache>
                <c:ptCount val="1"/>
                <c:pt idx="0">
                  <c:v>Count of Transaction Categories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All_account!$A$24:$A$27</c:f>
              <c:strCache>
                <c:ptCount val="3"/>
                <c:pt idx="0">
                  <c:v>Delay</c:v>
                </c:pt>
                <c:pt idx="1">
                  <c:v>Early</c:v>
                </c:pt>
                <c:pt idx="2">
                  <c:v>Same day</c:v>
                </c:pt>
              </c:strCache>
            </c:strRef>
          </c:cat>
          <c:val>
            <c:numRef>
              <c:f>All_account!$C$24:$C$27</c:f>
              <c:numCache>
                <c:formatCode>General</c:formatCode>
                <c:ptCount val="3"/>
                <c:pt idx="0">
                  <c:v>44</c:v>
                </c:pt>
                <c:pt idx="1">
                  <c:v>13</c:v>
                </c:pt>
                <c:pt idx="2">
                  <c:v>548</c:v>
                </c:pt>
              </c:numCache>
            </c:numRef>
          </c:val>
          <c:smooth val="0"/>
          <c:extLst>
            <c:ext xmlns:c16="http://schemas.microsoft.com/office/drawing/2014/chart" uri="{C3380CC4-5D6E-409C-BE32-E72D297353CC}">
              <c16:uniqueId val="{00000001-E7F8-4E7F-B9F3-C63CACB61ACC}"/>
            </c:ext>
          </c:extLst>
        </c:ser>
        <c:dLbls>
          <c:showLegendKey val="0"/>
          <c:showVal val="0"/>
          <c:showCatName val="0"/>
          <c:showSerName val="0"/>
          <c:showPercent val="0"/>
          <c:showBubbleSize val="0"/>
        </c:dLbls>
        <c:marker val="1"/>
        <c:smooth val="0"/>
        <c:axId val="1694917599"/>
        <c:axId val="1694917183"/>
      </c:lineChart>
      <c:catAx>
        <c:axId val="1694920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4919263"/>
        <c:crosses val="autoZero"/>
        <c:auto val="1"/>
        <c:lblAlgn val="ctr"/>
        <c:lblOffset val="100"/>
        <c:noMultiLvlLbl val="0"/>
      </c:catAx>
      <c:valAx>
        <c:axId val="1694919263"/>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4920927"/>
        <c:crosses val="autoZero"/>
        <c:crossBetween val="between"/>
      </c:valAx>
      <c:valAx>
        <c:axId val="169491718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4917599"/>
        <c:crosses val="max"/>
        <c:crossBetween val="between"/>
      </c:valAx>
      <c:catAx>
        <c:axId val="1694917599"/>
        <c:scaling>
          <c:orientation val="minMax"/>
        </c:scaling>
        <c:delete val="1"/>
        <c:axPos val="b"/>
        <c:numFmt formatCode="General" sourceLinked="1"/>
        <c:majorTickMark val="none"/>
        <c:minorTickMark val="none"/>
        <c:tickLblPos val="nextTo"/>
        <c:crossAx val="169491718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5.xlsx]All_account!PivotTable7</c:name>
    <c:fmtId val="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Monthly</a:t>
            </a:r>
            <a:r>
              <a:rPr lang="en-US" sz="1400" baseline="0"/>
              <a:t> Transaction Trend</a:t>
            </a:r>
            <a:endParaRPr lang="en-US" sz="1400"/>
          </a:p>
        </c:rich>
      </c:tx>
      <c:layout>
        <c:manualLayout>
          <c:xMode val="edge"/>
          <c:yMode val="edge"/>
          <c:x val="0.17121450111818687"/>
          <c:y val="0"/>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All_account!$B$38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All_account!$A$39:$A$51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All_account!$B$39:$B$51</c:f>
              <c:numCache>
                <c:formatCode>_-[$₦-46A]* #,##0_-;\-[$₦-46A]* #,##0_-;_-[$₦-46A]* "-"_-;_-@_-</c:formatCode>
                <c:ptCount val="12"/>
                <c:pt idx="0">
                  <c:v>19044.41</c:v>
                </c:pt>
                <c:pt idx="1">
                  <c:v>74140.45</c:v>
                </c:pt>
                <c:pt idx="2">
                  <c:v>245557.65</c:v>
                </c:pt>
                <c:pt idx="3">
                  <c:v>12768.9</c:v>
                </c:pt>
                <c:pt idx="4">
                  <c:v>411896.43000000005</c:v>
                </c:pt>
                <c:pt idx="5">
                  <c:v>407113.26</c:v>
                </c:pt>
                <c:pt idx="6">
                  <c:v>4334741.7899999991</c:v>
                </c:pt>
                <c:pt idx="7">
                  <c:v>2028567.6900000002</c:v>
                </c:pt>
                <c:pt idx="8">
                  <c:v>2266294.3699999992</c:v>
                </c:pt>
                <c:pt idx="9">
                  <c:v>2894085.6999999993</c:v>
                </c:pt>
                <c:pt idx="10">
                  <c:v>73970.930000000008</c:v>
                </c:pt>
                <c:pt idx="11">
                  <c:v>68232.02</c:v>
                </c:pt>
              </c:numCache>
            </c:numRef>
          </c:val>
          <c:smooth val="0"/>
          <c:extLst>
            <c:ext xmlns:c16="http://schemas.microsoft.com/office/drawing/2014/chart" uri="{C3380CC4-5D6E-409C-BE32-E72D297353CC}">
              <c16:uniqueId val="{00000000-E47B-4B05-9B7A-13906E82245C}"/>
            </c:ext>
          </c:extLst>
        </c:ser>
        <c:dLbls>
          <c:showLegendKey val="0"/>
          <c:showVal val="0"/>
          <c:showCatName val="0"/>
          <c:showSerName val="0"/>
          <c:showPercent val="0"/>
          <c:showBubbleSize val="0"/>
        </c:dLbls>
        <c:marker val="1"/>
        <c:smooth val="0"/>
        <c:axId val="122374272"/>
        <c:axId val="122372608"/>
      </c:lineChart>
      <c:catAx>
        <c:axId val="122374272"/>
        <c:scaling>
          <c:orientation val="minMax"/>
        </c:scaling>
        <c:delete val="0"/>
        <c:axPos val="b"/>
        <c:numFmt formatCode="@"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372608"/>
        <c:crosses val="autoZero"/>
        <c:auto val="1"/>
        <c:lblAlgn val="ctr"/>
        <c:lblOffset val="100"/>
        <c:noMultiLvlLbl val="0"/>
      </c:catAx>
      <c:valAx>
        <c:axId val="122372608"/>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374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5.xlsx]All_account!PivotTable10</c:name>
    <c:fmtId val="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Transaction</a:t>
            </a:r>
            <a:r>
              <a:rPr lang="en-US" sz="1400" baseline="0"/>
              <a:t> Amount by Mode</a:t>
            </a:r>
            <a:endParaRPr lang="en-US" sz="1400"/>
          </a:p>
        </c:rich>
      </c:tx>
      <c:layout>
        <c:manualLayout>
          <c:xMode val="edge"/>
          <c:yMode val="edge"/>
          <c:x val="0.11507830095308234"/>
          <c:y val="9.6000000000000002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dLbl>
          <c:idx val="0"/>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All_account!$B$31</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52-483C-AC58-C518D67375D8}"/>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52-483C-AC58-C518D67375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All_account!$A$32:$A$34</c:f>
              <c:strCache>
                <c:ptCount val="2"/>
                <c:pt idx="0">
                  <c:v>Credit</c:v>
                </c:pt>
                <c:pt idx="1">
                  <c:v>Debit</c:v>
                </c:pt>
              </c:strCache>
            </c:strRef>
          </c:cat>
          <c:val>
            <c:numRef>
              <c:f>All_account!$B$32:$B$34</c:f>
              <c:numCache>
                <c:formatCode>0.00%</c:formatCode>
                <c:ptCount val="2"/>
                <c:pt idx="0">
                  <c:v>0.14214876033057852</c:v>
                </c:pt>
                <c:pt idx="1">
                  <c:v>0.85785123966942145</c:v>
                </c:pt>
              </c:numCache>
            </c:numRef>
          </c:val>
          <c:extLst>
            <c:ext xmlns:c16="http://schemas.microsoft.com/office/drawing/2014/chart" uri="{C3380CC4-5D6E-409C-BE32-E72D297353CC}">
              <c16:uniqueId val="{00000004-8852-483C-AC58-C518D67375D8}"/>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359445</xdr:colOff>
      <xdr:row>0</xdr:row>
      <xdr:rowOff>4751</xdr:rowOff>
    </xdr:from>
    <xdr:to>
      <xdr:col>25</xdr:col>
      <xdr:colOff>296533</xdr:colOff>
      <xdr:row>36</xdr:row>
      <xdr:rowOff>35944</xdr:rowOff>
    </xdr:to>
    <xdr:sp macro="" textlink="">
      <xdr:nvSpPr>
        <xdr:cNvPr id="2" name="Rectangle: Rounded Corners 1">
          <a:extLst>
            <a:ext uri="{FF2B5EF4-FFF2-40B4-BE49-F238E27FC236}">
              <a16:creationId xmlns:a16="http://schemas.microsoft.com/office/drawing/2014/main" id="{501FDBA9-9CB6-42D9-9B57-A8EAC667063C}"/>
            </a:ext>
          </a:extLst>
        </xdr:cNvPr>
        <xdr:cNvSpPr/>
      </xdr:nvSpPr>
      <xdr:spPr>
        <a:xfrm>
          <a:off x="5535294" y="4751"/>
          <a:ext cx="10935767" cy="6501004"/>
        </a:xfrm>
        <a:prstGeom prst="roundRect">
          <a:avLst>
            <a:gd name="adj" fmla="val 2645"/>
          </a:avLst>
        </a:prstGeom>
        <a:solidFill>
          <a:schemeClr val="tx1">
            <a:lumMod val="75000"/>
            <a:lumOff val="25000"/>
          </a:schemeClr>
        </a:solid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386403</xdr:colOff>
      <xdr:row>0</xdr:row>
      <xdr:rowOff>57150</xdr:rowOff>
    </xdr:from>
    <xdr:to>
      <xdr:col>16</xdr:col>
      <xdr:colOff>113706</xdr:colOff>
      <xdr:row>4</xdr:row>
      <xdr:rowOff>114299</xdr:rowOff>
    </xdr:to>
    <xdr:sp macro="" textlink="">
      <xdr:nvSpPr>
        <xdr:cNvPr id="3" name="Rectangle: Rounded Corners 2">
          <a:extLst>
            <a:ext uri="{FF2B5EF4-FFF2-40B4-BE49-F238E27FC236}">
              <a16:creationId xmlns:a16="http://schemas.microsoft.com/office/drawing/2014/main" id="{5770451F-D2D2-4C14-A734-761F02ADF3A5}"/>
            </a:ext>
          </a:extLst>
        </xdr:cNvPr>
        <xdr:cNvSpPr/>
      </xdr:nvSpPr>
      <xdr:spPr>
        <a:xfrm>
          <a:off x="5562252" y="57150"/>
          <a:ext cx="4903152" cy="776017"/>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b="1"/>
            <a:t>FINANCIAL SNAPSHOT</a:t>
          </a:r>
        </a:p>
      </xdr:txBody>
    </xdr:sp>
    <xdr:clientData/>
  </xdr:twoCellAnchor>
  <xdr:twoCellAnchor>
    <xdr:from>
      <xdr:col>8</xdr:col>
      <xdr:colOff>512207</xdr:colOff>
      <xdr:row>9</xdr:row>
      <xdr:rowOff>14282</xdr:rowOff>
    </xdr:from>
    <xdr:to>
      <xdr:col>14</xdr:col>
      <xdr:colOff>79493</xdr:colOff>
      <xdr:row>22</xdr:row>
      <xdr:rowOff>23807</xdr:rowOff>
    </xdr:to>
    <xdr:sp macro="" textlink="">
      <xdr:nvSpPr>
        <xdr:cNvPr id="4" name="Rectangle: Rounded Corners 3">
          <a:extLst>
            <a:ext uri="{FF2B5EF4-FFF2-40B4-BE49-F238E27FC236}">
              <a16:creationId xmlns:a16="http://schemas.microsoft.com/office/drawing/2014/main" id="{97A6AD9A-9125-4098-AD36-6A1C24EBD13D}"/>
            </a:ext>
          </a:extLst>
        </xdr:cNvPr>
        <xdr:cNvSpPr/>
      </xdr:nvSpPr>
      <xdr:spPr>
        <a:xfrm>
          <a:off x="5688056" y="1631735"/>
          <a:ext cx="3449173" cy="2345846"/>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373403</xdr:colOff>
      <xdr:row>9</xdr:row>
      <xdr:rowOff>22638</xdr:rowOff>
    </xdr:from>
    <xdr:to>
      <xdr:col>19</xdr:col>
      <xdr:colOff>587669</xdr:colOff>
      <xdr:row>22</xdr:row>
      <xdr:rowOff>32163</xdr:rowOff>
    </xdr:to>
    <xdr:sp macro="" textlink="">
      <xdr:nvSpPr>
        <xdr:cNvPr id="5" name="Rectangle: Rounded Corners 4">
          <a:extLst>
            <a:ext uri="{FF2B5EF4-FFF2-40B4-BE49-F238E27FC236}">
              <a16:creationId xmlns:a16="http://schemas.microsoft.com/office/drawing/2014/main" id="{8BA83A5F-93E6-47BC-9001-981455CAC670}"/>
            </a:ext>
          </a:extLst>
        </xdr:cNvPr>
        <xdr:cNvSpPr/>
      </xdr:nvSpPr>
      <xdr:spPr>
        <a:xfrm>
          <a:off x="9431139" y="1640091"/>
          <a:ext cx="3449172" cy="2345846"/>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44821</xdr:colOff>
      <xdr:row>8</xdr:row>
      <xdr:rowOff>147630</xdr:rowOff>
    </xdr:from>
    <xdr:to>
      <xdr:col>25</xdr:col>
      <xdr:colOff>258298</xdr:colOff>
      <xdr:row>35</xdr:row>
      <xdr:rowOff>90482</xdr:rowOff>
    </xdr:to>
    <xdr:sp macro="" textlink="">
      <xdr:nvSpPr>
        <xdr:cNvPr id="6" name="Rectangle: Rounded Corners 5">
          <a:extLst>
            <a:ext uri="{FF2B5EF4-FFF2-40B4-BE49-F238E27FC236}">
              <a16:creationId xmlns:a16="http://schemas.microsoft.com/office/drawing/2014/main" id="{939F47A5-26C6-4131-8E72-4652776A9717}"/>
            </a:ext>
          </a:extLst>
        </xdr:cNvPr>
        <xdr:cNvSpPr/>
      </xdr:nvSpPr>
      <xdr:spPr>
        <a:xfrm>
          <a:off x="12984444" y="1585366"/>
          <a:ext cx="3448382" cy="479521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rPr>
            <a:t>SUMMARY</a:t>
          </a:r>
          <a:r>
            <a:rPr lang="en-US" sz="1200" b="1" baseline="0">
              <a:solidFill>
                <a:sysClr val="windowText" lastClr="000000"/>
              </a:solidFill>
            </a:rPr>
            <a:t> INSIGHT</a:t>
          </a:r>
        </a:p>
        <a:p>
          <a:pPr algn="ctr"/>
          <a:r>
            <a:rPr lang="en-US" sz="1200" b="1" baseline="0">
              <a:solidFill>
                <a:sysClr val="windowText" lastClr="000000"/>
              </a:solidFill>
            </a:rPr>
            <a:t>This reflects 605 transactions totaling  ₦12.8M, with inflows and outfowa nearly balanced, ending in a slight - ₦3,104 net movement.Categoy analysis indicates that most spending is driven by Transfers, POS, and Airtime, while inflows represent only 14% of total activity. Processing lag visuals show operational in efficiences, and a visible spike in activity show operational inefficiencies, and a visible spike in activity highlights periods of increased financial movement.  This shows stable but outflow-heavy financial behaviour.</a:t>
          </a:r>
        </a:p>
        <a:p>
          <a:pPr algn="ctr"/>
          <a:endParaRPr lang="en-US" sz="1100" b="1" baseline="0">
            <a:solidFill>
              <a:sysClr val="windowText" lastClr="000000"/>
            </a:solidFill>
          </a:endParaRPr>
        </a:p>
        <a:p>
          <a:pPr algn="ctr"/>
          <a:r>
            <a:rPr lang="en-US" sz="1200" b="1" baseline="0">
              <a:solidFill>
                <a:sysClr val="windowText" lastClr="000000"/>
              </a:solidFill>
            </a:rPr>
            <a:t>RECOMMENDATION</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baseline="0">
              <a:solidFill>
                <a:sysClr val="windowText" lastClr="000000"/>
              </a:solidFill>
              <a:effectLst/>
              <a:latin typeface="+mn-lt"/>
              <a:ea typeface="+mn-ea"/>
              <a:cs typeface="+mn-cs"/>
            </a:rPr>
            <a:t>These trends suggest the need for better expense control, stronger inflow strategies, and improved processing delays will help strengthen financial health and give better control over cash movement.</a:t>
          </a:r>
          <a:endParaRPr lang="en-US" sz="1200" b="1">
            <a:solidFill>
              <a:sysClr val="windowText" lastClr="000000"/>
            </a:solidFill>
            <a:effectLst/>
          </a:endParaRPr>
        </a:p>
      </xdr:txBody>
    </xdr:sp>
    <xdr:clientData/>
  </xdr:twoCellAnchor>
  <xdr:twoCellAnchor>
    <xdr:from>
      <xdr:col>8</xdr:col>
      <xdr:colOff>620034</xdr:colOff>
      <xdr:row>22</xdr:row>
      <xdr:rowOff>80952</xdr:rowOff>
    </xdr:from>
    <xdr:to>
      <xdr:col>14</xdr:col>
      <xdr:colOff>187320</xdr:colOff>
      <xdr:row>35</xdr:row>
      <xdr:rowOff>85715</xdr:rowOff>
    </xdr:to>
    <xdr:sp macro="" textlink="">
      <xdr:nvSpPr>
        <xdr:cNvPr id="7" name="Rectangle: Rounded Corners 6">
          <a:extLst>
            <a:ext uri="{FF2B5EF4-FFF2-40B4-BE49-F238E27FC236}">
              <a16:creationId xmlns:a16="http://schemas.microsoft.com/office/drawing/2014/main" id="{AD90FA00-6B6B-4BA4-A88A-B8FFEACA629C}"/>
            </a:ext>
          </a:extLst>
        </xdr:cNvPr>
        <xdr:cNvSpPr/>
      </xdr:nvSpPr>
      <xdr:spPr>
        <a:xfrm>
          <a:off x="5795883" y="4034726"/>
          <a:ext cx="3449173" cy="2341083"/>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348830</xdr:colOff>
      <xdr:row>22</xdr:row>
      <xdr:rowOff>64282</xdr:rowOff>
    </xdr:from>
    <xdr:to>
      <xdr:col>19</xdr:col>
      <xdr:colOff>563096</xdr:colOff>
      <xdr:row>35</xdr:row>
      <xdr:rowOff>69045</xdr:rowOff>
    </xdr:to>
    <xdr:sp macro="" textlink="">
      <xdr:nvSpPr>
        <xdr:cNvPr id="8" name="Rectangle: Rounded Corners 7">
          <a:extLst>
            <a:ext uri="{FF2B5EF4-FFF2-40B4-BE49-F238E27FC236}">
              <a16:creationId xmlns:a16="http://schemas.microsoft.com/office/drawing/2014/main" id="{E3041F84-2F86-4003-9785-61CBBF706D19}"/>
            </a:ext>
          </a:extLst>
        </xdr:cNvPr>
        <xdr:cNvSpPr/>
      </xdr:nvSpPr>
      <xdr:spPr>
        <a:xfrm>
          <a:off x="9406566" y="4018056"/>
          <a:ext cx="3449172" cy="2341083"/>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505196</xdr:colOff>
      <xdr:row>9</xdr:row>
      <xdr:rowOff>121484</xdr:rowOff>
    </xdr:from>
    <xdr:to>
      <xdr:col>13</xdr:col>
      <xdr:colOff>431333</xdr:colOff>
      <xdr:row>21</xdr:row>
      <xdr:rowOff>131009</xdr:rowOff>
    </xdr:to>
    <xdr:graphicFrame macro="">
      <xdr:nvGraphicFramePr>
        <xdr:cNvPr id="10" name="Chart 9">
          <a:extLst>
            <a:ext uri="{FF2B5EF4-FFF2-40B4-BE49-F238E27FC236}">
              <a16:creationId xmlns:a16="http://schemas.microsoft.com/office/drawing/2014/main" id="{53265833-F563-4A4E-B1BB-B12B86240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25396</xdr:colOff>
      <xdr:row>9</xdr:row>
      <xdr:rowOff>103511</xdr:rowOff>
    </xdr:from>
    <xdr:to>
      <xdr:col>19</xdr:col>
      <xdr:colOff>512048</xdr:colOff>
      <xdr:row>21</xdr:row>
      <xdr:rowOff>137970</xdr:rowOff>
    </xdr:to>
    <xdr:graphicFrame macro="">
      <xdr:nvGraphicFramePr>
        <xdr:cNvPr id="11" name="Chart 10">
          <a:extLst>
            <a:ext uri="{FF2B5EF4-FFF2-40B4-BE49-F238E27FC236}">
              <a16:creationId xmlns:a16="http://schemas.microsoft.com/office/drawing/2014/main" id="{3C77E654-5BF2-4388-9904-CE9D4BF59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13196</xdr:colOff>
      <xdr:row>23</xdr:row>
      <xdr:rowOff>57146</xdr:rowOff>
    </xdr:from>
    <xdr:to>
      <xdr:col>13</xdr:col>
      <xdr:colOff>628224</xdr:colOff>
      <xdr:row>34</xdr:row>
      <xdr:rowOff>159536</xdr:rowOff>
    </xdr:to>
    <xdr:graphicFrame macro="">
      <xdr:nvGraphicFramePr>
        <xdr:cNvPr id="12" name="Chart 11">
          <a:extLst>
            <a:ext uri="{FF2B5EF4-FFF2-40B4-BE49-F238E27FC236}">
              <a16:creationId xmlns:a16="http://schemas.microsoft.com/office/drawing/2014/main" id="{96D76539-08C5-4E49-A946-0B5417689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236405</xdr:colOff>
      <xdr:row>21</xdr:row>
      <xdr:rowOff>134788</xdr:rowOff>
    </xdr:from>
    <xdr:to>
      <xdr:col>19</xdr:col>
      <xdr:colOff>499413</xdr:colOff>
      <xdr:row>35</xdr:row>
      <xdr:rowOff>1</xdr:rowOff>
    </xdr:to>
    <xdr:graphicFrame macro="">
      <xdr:nvGraphicFramePr>
        <xdr:cNvPr id="13" name="Chart 12">
          <a:extLst>
            <a:ext uri="{FF2B5EF4-FFF2-40B4-BE49-F238E27FC236}">
              <a16:creationId xmlns:a16="http://schemas.microsoft.com/office/drawing/2014/main" id="{C762852C-3700-4BE0-A6EC-015EA48CA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395389</xdr:colOff>
      <xdr:row>5</xdr:row>
      <xdr:rowOff>5480</xdr:rowOff>
    </xdr:from>
    <xdr:to>
      <xdr:col>11</xdr:col>
      <xdr:colOff>422635</xdr:colOff>
      <xdr:row>8</xdr:row>
      <xdr:rowOff>128050</xdr:rowOff>
    </xdr:to>
    <xdr:sp macro="" textlink="">
      <xdr:nvSpPr>
        <xdr:cNvPr id="14" name="Rectangle: Rounded Corners 13">
          <a:extLst>
            <a:ext uri="{FF2B5EF4-FFF2-40B4-BE49-F238E27FC236}">
              <a16:creationId xmlns:a16="http://schemas.microsoft.com/office/drawing/2014/main" id="{243DFE6A-D26E-454B-8579-1EB14DEAD005}"/>
            </a:ext>
          </a:extLst>
        </xdr:cNvPr>
        <xdr:cNvSpPr/>
      </xdr:nvSpPr>
      <xdr:spPr>
        <a:xfrm>
          <a:off x="5571238" y="904065"/>
          <a:ext cx="1968189" cy="661721"/>
        </a:xfrm>
        <a:prstGeom prst="roundRect">
          <a:avLst>
            <a:gd name="adj" fmla="val 43014"/>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algn="ctr"/>
          <a:r>
            <a:rPr lang="en-US" sz="1200" b="1" cap="none" spc="0" baseline="0">
              <a:ln/>
              <a:solidFill>
                <a:schemeClr val="bg1"/>
              </a:solidFill>
              <a:effectLst/>
            </a:rPr>
            <a:t>NO</a:t>
          </a:r>
          <a:r>
            <a:rPr lang="en-US" sz="1200" b="1" cap="none" spc="0">
              <a:ln/>
              <a:solidFill>
                <a:schemeClr val="bg1"/>
              </a:solidFill>
              <a:effectLst/>
            </a:rPr>
            <a:t> TRANSACTIONS</a:t>
          </a:r>
        </a:p>
        <a:p>
          <a:pPr algn="ctr"/>
          <a:r>
            <a:rPr lang="en-US" sz="1200" b="1" cap="none" spc="0">
              <a:ln/>
              <a:solidFill>
                <a:schemeClr val="bg1"/>
              </a:solidFill>
              <a:effectLst/>
            </a:rPr>
            <a:t> 605 </a:t>
          </a:r>
        </a:p>
      </xdr:txBody>
    </xdr:sp>
    <xdr:clientData/>
  </xdr:twoCellAnchor>
  <xdr:twoCellAnchor>
    <xdr:from>
      <xdr:col>15</xdr:col>
      <xdr:colOff>72336</xdr:colOff>
      <xdr:row>5</xdr:row>
      <xdr:rowOff>41424</xdr:rowOff>
    </xdr:from>
    <xdr:to>
      <xdr:col>18</xdr:col>
      <xdr:colOff>98793</xdr:colOff>
      <xdr:row>8</xdr:row>
      <xdr:rowOff>163994</xdr:rowOff>
    </xdr:to>
    <xdr:sp macro="" textlink="">
      <xdr:nvSpPr>
        <xdr:cNvPr id="19" name="Rectangle: Rounded Corners 18">
          <a:extLst>
            <a:ext uri="{FF2B5EF4-FFF2-40B4-BE49-F238E27FC236}">
              <a16:creationId xmlns:a16="http://schemas.microsoft.com/office/drawing/2014/main" id="{85BA9889-286E-407E-A1C5-2315BEA96587}"/>
            </a:ext>
          </a:extLst>
        </xdr:cNvPr>
        <xdr:cNvSpPr/>
      </xdr:nvSpPr>
      <xdr:spPr>
        <a:xfrm>
          <a:off x="9777053" y="940009"/>
          <a:ext cx="1967400" cy="661721"/>
        </a:xfrm>
        <a:prstGeom prst="roundRect">
          <a:avLst>
            <a:gd name="adj" fmla="val 43014"/>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soft" dir="t">
              <a:rot lat="0" lon="0" rev="15600000"/>
            </a:lightRig>
          </a:scene3d>
          <a:sp3d extrusionH="57150" prstMaterial="softEdge">
            <a:bevelT w="25400" h="38100"/>
          </a:sp3d>
        </a:bodyPr>
        <a:lstStyle/>
        <a:p>
          <a:pPr algn="ctr"/>
          <a:r>
            <a:rPr lang="en-US" sz="1200" b="1" cap="none" spc="0" baseline="0">
              <a:ln/>
              <a:solidFill>
                <a:schemeClr val="bg2"/>
              </a:solidFill>
              <a:effectLst/>
            </a:rPr>
            <a:t>INFLOW</a:t>
          </a:r>
          <a:r>
            <a:rPr lang="en-US" sz="1200" b="1" cap="none" spc="0" baseline="0">
              <a:ln/>
              <a:solidFill>
                <a:schemeClr val="bg1"/>
              </a:solidFill>
              <a:effectLst/>
            </a:rPr>
            <a:t> </a:t>
          </a:r>
        </a:p>
        <a:p>
          <a:pPr algn="ctr"/>
          <a:r>
            <a:rPr lang="en-US" sz="1200" b="1" cap="none" spc="0">
              <a:ln/>
              <a:solidFill>
                <a:schemeClr val="bg1"/>
              </a:solidFill>
              <a:effectLst/>
            </a:rPr>
            <a:t>₦6,416,655 </a:t>
          </a:r>
        </a:p>
      </xdr:txBody>
    </xdr:sp>
    <xdr:clientData/>
  </xdr:twoCellAnchor>
  <xdr:twoCellAnchor>
    <xdr:from>
      <xdr:col>18</xdr:col>
      <xdr:colOff>323945</xdr:colOff>
      <xdr:row>4</xdr:row>
      <xdr:rowOff>176211</xdr:rowOff>
    </xdr:from>
    <xdr:to>
      <xdr:col>21</xdr:col>
      <xdr:colOff>350399</xdr:colOff>
      <xdr:row>8</xdr:row>
      <xdr:rowOff>109538</xdr:rowOff>
    </xdr:to>
    <xdr:sp macro="" textlink="">
      <xdr:nvSpPr>
        <xdr:cNvPr id="20" name="Rectangle: Rounded Corners 19">
          <a:extLst>
            <a:ext uri="{FF2B5EF4-FFF2-40B4-BE49-F238E27FC236}">
              <a16:creationId xmlns:a16="http://schemas.microsoft.com/office/drawing/2014/main" id="{1FE2FDD5-BA43-4CEB-B6F7-CC6B43B178E1}"/>
            </a:ext>
          </a:extLst>
        </xdr:cNvPr>
        <xdr:cNvSpPr/>
      </xdr:nvSpPr>
      <xdr:spPr>
        <a:xfrm>
          <a:off x="11969605" y="895079"/>
          <a:ext cx="1967398" cy="652195"/>
        </a:xfrm>
        <a:prstGeom prst="roundRect">
          <a:avLst>
            <a:gd name="adj" fmla="val 43014"/>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algn="ctr"/>
          <a:r>
            <a:rPr lang="en-US" sz="1200" b="1" cap="none" spc="0">
              <a:ln/>
              <a:solidFill>
                <a:schemeClr val="bg2"/>
              </a:solidFill>
              <a:effectLst/>
            </a:rPr>
            <a:t>OUTFLOW</a:t>
          </a:r>
          <a:r>
            <a:rPr lang="en-US" sz="1200" b="1" cap="none" spc="0">
              <a:ln/>
              <a:solidFill>
                <a:schemeClr val="bg1"/>
              </a:solidFill>
              <a:effectLst/>
            </a:rPr>
            <a:t> </a:t>
          </a:r>
        </a:p>
        <a:p>
          <a:pPr algn="ctr"/>
          <a:r>
            <a:rPr lang="en-US" sz="1200" b="1" cap="none" spc="0">
              <a:ln/>
              <a:solidFill>
                <a:schemeClr val="bg1"/>
              </a:solidFill>
              <a:effectLst/>
            </a:rPr>
            <a:t>₦6,419,759 </a:t>
          </a:r>
        </a:p>
      </xdr:txBody>
    </xdr:sp>
    <xdr:clientData/>
  </xdr:twoCellAnchor>
  <xdr:twoCellAnchor>
    <xdr:from>
      <xdr:col>21</xdr:col>
      <xdr:colOff>620477</xdr:colOff>
      <xdr:row>4</xdr:row>
      <xdr:rowOff>166685</xdr:rowOff>
    </xdr:from>
    <xdr:to>
      <xdr:col>24</xdr:col>
      <xdr:colOff>646932</xdr:colOff>
      <xdr:row>8</xdr:row>
      <xdr:rowOff>109538</xdr:rowOff>
    </xdr:to>
    <xdr:sp macro="" textlink="">
      <xdr:nvSpPr>
        <xdr:cNvPr id="21" name="Rectangle: Rounded Corners 20">
          <a:extLst>
            <a:ext uri="{FF2B5EF4-FFF2-40B4-BE49-F238E27FC236}">
              <a16:creationId xmlns:a16="http://schemas.microsoft.com/office/drawing/2014/main" id="{8539B057-59B4-4143-BF24-5A07725226B6}"/>
            </a:ext>
          </a:extLst>
        </xdr:cNvPr>
        <xdr:cNvSpPr/>
      </xdr:nvSpPr>
      <xdr:spPr>
        <a:xfrm>
          <a:off x="14207081" y="885553"/>
          <a:ext cx="1967398" cy="661721"/>
        </a:xfrm>
        <a:prstGeom prst="roundRect">
          <a:avLst>
            <a:gd name="adj" fmla="val 43014"/>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algn="ctr"/>
          <a:r>
            <a:rPr lang="en-US" sz="1200" b="1" cap="none" spc="0">
              <a:ln/>
              <a:solidFill>
                <a:schemeClr val="bg1"/>
              </a:solidFill>
              <a:effectLst/>
            </a:rPr>
            <a:t>NET </a:t>
          </a:r>
          <a:r>
            <a:rPr lang="en-US" sz="1200" b="1" cap="none" spc="0">
              <a:ln/>
              <a:solidFill>
                <a:schemeClr val="bg2"/>
              </a:solidFill>
              <a:effectLst/>
            </a:rPr>
            <a:t>MOVEMENT</a:t>
          </a:r>
          <a:r>
            <a:rPr lang="en-US" sz="1200" b="1" cap="none" spc="0">
              <a:ln/>
              <a:solidFill>
                <a:schemeClr val="bg1"/>
              </a:solidFill>
              <a:effectLst/>
            </a:rPr>
            <a:t> </a:t>
          </a:r>
        </a:p>
        <a:p>
          <a:pPr algn="ctr"/>
          <a:r>
            <a:rPr lang="en-US" sz="1200" b="1" cap="none" spc="0">
              <a:ln/>
              <a:solidFill>
                <a:schemeClr val="bg1"/>
              </a:solidFill>
              <a:effectLst/>
            </a:rPr>
            <a:t>-₦</a:t>
          </a:r>
          <a:r>
            <a:rPr lang="en-US" sz="1200" b="1" cap="none" spc="0">
              <a:ln/>
              <a:solidFill>
                <a:schemeClr val="bg2"/>
              </a:solidFill>
              <a:effectLst/>
            </a:rPr>
            <a:t>3,104</a:t>
          </a:r>
        </a:p>
      </xdr:txBody>
    </xdr:sp>
    <xdr:clientData/>
  </xdr:twoCellAnchor>
  <xdr:twoCellAnchor editAs="oneCell">
    <xdr:from>
      <xdr:col>22</xdr:col>
      <xdr:colOff>140064</xdr:colOff>
      <xdr:row>0</xdr:row>
      <xdr:rowOff>44211</xdr:rowOff>
    </xdr:from>
    <xdr:to>
      <xdr:col>25</xdr:col>
      <xdr:colOff>305519</xdr:colOff>
      <xdr:row>5</xdr:row>
      <xdr:rowOff>0</xdr:rowOff>
    </xdr:to>
    <mc:AlternateContent xmlns:mc="http://schemas.openxmlformats.org/markup-compatibility/2006" xmlns:a14="http://schemas.microsoft.com/office/drawing/2010/main">
      <mc:Choice Requires="a14">
        <xdr:graphicFrame macro="">
          <xdr:nvGraphicFramePr>
            <xdr:cNvPr id="23" name="Processing Lag">
              <a:extLst>
                <a:ext uri="{FF2B5EF4-FFF2-40B4-BE49-F238E27FC236}">
                  <a16:creationId xmlns:a16="http://schemas.microsoft.com/office/drawing/2014/main" id="{844C26B9-E976-4014-A624-4D1579387456}"/>
                </a:ext>
              </a:extLst>
            </xdr:cNvPr>
            <xdr:cNvGraphicFramePr/>
          </xdr:nvGraphicFramePr>
          <xdr:xfrm>
            <a:off x="0" y="0"/>
            <a:ext cx="0" cy="0"/>
          </xdr:xfrm>
          <a:graphic>
            <a:graphicData uri="http://schemas.microsoft.com/office/drawing/2010/slicer">
              <sle:slicer xmlns:sle="http://schemas.microsoft.com/office/drawing/2010/slicer" name="Processing Lag"/>
            </a:graphicData>
          </a:graphic>
        </xdr:graphicFrame>
      </mc:Choice>
      <mc:Fallback xmlns="">
        <xdr:sp macro="" textlink="">
          <xdr:nvSpPr>
            <xdr:cNvPr id="0" name=""/>
            <xdr:cNvSpPr>
              <a:spLocks noTextEdit="1"/>
            </xdr:cNvSpPr>
          </xdr:nvSpPr>
          <xdr:spPr>
            <a:xfrm>
              <a:off x="14373649" y="44211"/>
              <a:ext cx="2106398" cy="85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151116</xdr:colOff>
      <xdr:row>0</xdr:row>
      <xdr:rowOff>7986</xdr:rowOff>
    </xdr:from>
    <xdr:to>
      <xdr:col>22</xdr:col>
      <xdr:colOff>62901</xdr:colOff>
      <xdr:row>4</xdr:row>
      <xdr:rowOff>146368</xdr:rowOff>
    </xdr:to>
    <mc:AlternateContent xmlns:mc="http://schemas.openxmlformats.org/markup-compatibility/2006" xmlns:tsle="http://schemas.microsoft.com/office/drawing/2012/timeslicer">
      <mc:Choice Requires="tsle">
        <xdr:graphicFrame macro="">
          <xdr:nvGraphicFramePr>
            <xdr:cNvPr id="26" name="Value Date">
              <a:extLst>
                <a:ext uri="{FF2B5EF4-FFF2-40B4-BE49-F238E27FC236}">
                  <a16:creationId xmlns:a16="http://schemas.microsoft.com/office/drawing/2014/main" id="{10B74919-636B-49EB-A643-D47A4435C3AB}"/>
                </a:ext>
              </a:extLst>
            </xdr:cNvPr>
            <xdr:cNvGraphicFramePr/>
          </xdr:nvGraphicFramePr>
          <xdr:xfrm>
            <a:off x="0" y="0"/>
            <a:ext cx="0" cy="0"/>
          </xdr:xfrm>
          <a:graphic>
            <a:graphicData uri="http://schemas.microsoft.com/office/drawing/2012/timeslicer">
              <tsle:timeslicer name="Value Date"/>
            </a:graphicData>
          </a:graphic>
        </xdr:graphicFrame>
      </mc:Choice>
      <mc:Fallback xmlns="">
        <xdr:sp macro="" textlink="">
          <xdr:nvSpPr>
            <xdr:cNvPr id="0" name=""/>
            <xdr:cNvSpPr>
              <a:spLocks noTextEdit="1"/>
            </xdr:cNvSpPr>
          </xdr:nvSpPr>
          <xdr:spPr>
            <a:xfrm>
              <a:off x="10502814" y="7986"/>
              <a:ext cx="3793672" cy="8572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530576</xdr:colOff>
      <xdr:row>5</xdr:row>
      <xdr:rowOff>26958</xdr:rowOff>
    </xdr:from>
    <xdr:to>
      <xdr:col>14</xdr:col>
      <xdr:colOff>557821</xdr:colOff>
      <xdr:row>8</xdr:row>
      <xdr:rowOff>149528</xdr:rowOff>
    </xdr:to>
    <xdr:sp macro="" textlink="">
      <xdr:nvSpPr>
        <xdr:cNvPr id="27" name="Rectangle: Rounded Corners 26">
          <a:extLst>
            <a:ext uri="{FF2B5EF4-FFF2-40B4-BE49-F238E27FC236}">
              <a16:creationId xmlns:a16="http://schemas.microsoft.com/office/drawing/2014/main" id="{6CCE934A-62CC-4651-B711-7C18F23D2B73}"/>
            </a:ext>
          </a:extLst>
        </xdr:cNvPr>
        <xdr:cNvSpPr/>
      </xdr:nvSpPr>
      <xdr:spPr>
        <a:xfrm>
          <a:off x="7647368" y="925543"/>
          <a:ext cx="1968189" cy="661721"/>
        </a:xfrm>
        <a:prstGeom prst="roundRect">
          <a:avLst>
            <a:gd name="adj" fmla="val 43014"/>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algn="ctr"/>
          <a:r>
            <a:rPr lang="en-US" sz="1200" b="1" cap="none" spc="0">
              <a:ln/>
              <a:solidFill>
                <a:schemeClr val="bg1"/>
              </a:solidFill>
              <a:effectLst/>
            </a:rPr>
            <a:t>TOTAL TRANSACTIONS ₦12,836,414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4.623542592592" backgroundQuery="1" createdVersion="7" refreshedVersion="7" minRefreshableVersion="3" recordCount="605" xr:uid="{6BA1C288-B3FE-4F58-B264-68853076D3E4}">
  <cacheSource type="external" connectionId="3"/>
  <cacheFields count="18">
    <cacheField name="Posted Date" numFmtId="0">
      <sharedItems containsSemiMixedTypes="0" containsNonDate="0" containsDate="1" containsString="0" minDate="2024-08-01T00:00:00" maxDate="2025-10-22T00:00:00"/>
    </cacheField>
    <cacheField name="Value Date" numFmtId="0">
      <sharedItems containsSemiMixedTypes="0" containsNonDate="0" containsDate="1" containsString="0" minDate="2024-08-01T00:00:00" maxDate="2025-10-22T00:00:00" count="173">
        <d v="2025-05-02T00:00:00"/>
        <d v="2025-05-03T00:00:00"/>
        <d v="2025-05-04T00:00:00"/>
        <d v="2025-05-05T00:00:00"/>
        <d v="2025-05-08T00:00:00"/>
        <d v="2025-05-09T00:00:00"/>
        <d v="2025-05-19T00:00:00"/>
        <d v="2025-05-26T00:00:00"/>
        <d v="2025-05-27T00:00:00"/>
        <d v="2025-05-30T00:00:00"/>
        <d v="2025-06-01T00:00:00"/>
        <d v="2025-06-09T00:00:00"/>
        <d v="2025-06-12T00:00:00"/>
        <d v="2025-06-30T00:00:00"/>
        <d v="2025-07-01T00:00:00"/>
        <d v="2025-07-06T00:00:00"/>
        <d v="2025-07-07T00:00:00"/>
        <d v="2025-07-09T00:00:00"/>
        <d v="2025-07-11T00:00:00"/>
        <d v="2025-07-12T00:00:00"/>
        <d v="2025-07-14T00:00:00"/>
        <d v="2025-07-16T00:00:00"/>
        <d v="2025-07-17T00:00:00"/>
        <d v="2025-07-18T00:00:00"/>
        <d v="2025-07-19T00:00:00"/>
        <d v="2025-07-21T00:00:00"/>
        <d v="2025-07-23T00:00:00"/>
        <d v="2025-07-25T00:00:00"/>
        <d v="2025-07-26T00:00:00"/>
        <d v="2025-07-29T00:00:00"/>
        <d v="2025-07-30T00:00:00"/>
        <d v="2025-08-01T00:00:00"/>
        <d v="2025-08-06T00:00:00"/>
        <d v="2025-08-08T00:00:00"/>
        <d v="2025-08-09T00:00:00"/>
        <d v="2025-08-12T00:00:00"/>
        <d v="2025-08-18T00:00:00"/>
        <d v="2025-08-20T00:00:00"/>
        <d v="2025-08-21T00:00:00"/>
        <d v="2025-08-26T00:00:00"/>
        <d v="2025-08-30T00:00:00"/>
        <d v="2025-08-31T00:00:00"/>
        <d v="2025-09-05T00:00:00"/>
        <d v="2025-09-07T00:00:00"/>
        <d v="2025-09-06T00:00:00"/>
        <d v="2025-09-13T00:00:00"/>
        <d v="2025-09-16T00:00:00"/>
        <d v="2025-09-17T00:00:00"/>
        <d v="2025-09-18T00:00:00"/>
        <d v="2025-09-19T00:00:00"/>
        <d v="2025-09-20T00:00:00"/>
        <d v="2025-09-22T00:00:00"/>
        <d v="2025-09-24T00:00:00"/>
        <d v="2025-09-26T00:00:00"/>
        <d v="2025-09-29T00:00:00"/>
        <d v="2025-09-30T00:00:00"/>
        <d v="2025-10-01T00:00:00"/>
        <d v="2025-10-02T00:00:00"/>
        <d v="2025-10-03T00:00:00"/>
        <d v="2025-10-04T00:00:00"/>
        <d v="2025-10-05T00:00:00"/>
        <d v="2025-10-06T00:00:00"/>
        <d v="2025-10-07T00:00:00"/>
        <d v="2025-10-08T00:00:00"/>
        <d v="2025-10-09T00:00:00"/>
        <d v="2025-10-11T00:00:00"/>
        <d v="2025-10-13T00:00:00"/>
        <d v="2025-10-14T00:00:00"/>
        <d v="2025-10-15T00:00:00"/>
        <d v="2025-10-17T00:00:00"/>
        <d v="2025-10-19T00:00:00"/>
        <d v="2025-10-20T00:00:00"/>
        <d v="2025-10-21T00:00:00"/>
        <d v="2024-08-01T00:00:00"/>
        <d v="2024-08-19T00:00:00"/>
        <d v="2024-08-20T00:00:00"/>
        <d v="2024-08-21T00:00:00"/>
        <d v="2024-08-27T00:00:00"/>
        <d v="2024-08-28T00:00:00"/>
        <d v="2024-08-30T00:00:00"/>
        <d v="2024-08-31T00:00:00"/>
        <d v="2024-09-01T00:00:00"/>
        <d v="2024-09-02T00:00:00"/>
        <d v="2024-09-03T00:00:00"/>
        <d v="2024-09-06T00:00:00"/>
        <d v="2024-09-09T00:00:00"/>
        <d v="2024-09-13T00:00:00"/>
        <d v="2024-09-21T00:00:00"/>
        <d v="2024-09-29T00:00:00"/>
        <d v="2024-09-30T00:00:00"/>
        <d v="2024-10-01T00:00:00"/>
        <d v="2024-10-02T00:00:00"/>
        <d v="2024-10-03T00:00:00"/>
        <d v="2024-10-04T00:00:00"/>
        <d v="2024-10-05T00:00:00"/>
        <d v="2024-10-06T00:00:00"/>
        <d v="2024-10-09T00:00:00"/>
        <d v="2024-10-12T00:00:00"/>
        <d v="2024-10-14T00:00:00"/>
        <d v="2024-10-21T00:00:00"/>
        <d v="2024-10-22T00:00:00"/>
        <d v="2024-10-23T00:00:00"/>
        <d v="2024-10-27T00:00:00"/>
        <d v="2024-10-30T00:00:00"/>
        <d v="2024-10-31T00:00:00"/>
        <d v="2024-11-01T00:00:00"/>
        <d v="2024-11-04T00:00:00"/>
        <d v="2024-11-06T00:00:00"/>
        <d v="2024-11-07T00:00:00"/>
        <d v="2024-11-08T00:00:00"/>
        <d v="2024-11-28T00:00:00"/>
        <d v="2024-11-29T00:00:00"/>
        <d v="2024-11-30T00:00:00"/>
        <d v="2024-12-02T00:00:00"/>
        <d v="2024-12-10T00:00:00"/>
        <d v="2024-12-23T00:00:00"/>
        <d v="2024-12-25T00:00:00"/>
        <d v="2024-12-30T00:00:00"/>
        <d v="2025-01-01T00:00:00"/>
        <d v="2025-01-11T00:00:00"/>
        <d v="2025-01-16T00:00:00"/>
        <d v="2025-01-17T00:00:00"/>
        <d v="2025-01-24T00:00:00"/>
        <d v="2025-01-27T00:00:00"/>
        <d v="2025-01-30T00:00:00"/>
        <d v="2025-02-01T00:00:00"/>
        <d v="2025-02-03T00:00:00"/>
        <d v="2025-02-11T00:00:00"/>
        <d v="2025-02-24T00:00:00"/>
        <d v="2025-02-25T00:00:00"/>
        <d v="2025-02-26T00:00:00"/>
        <d v="2025-03-01T00:00:00"/>
        <d v="2025-03-04T00:00:00"/>
        <d v="2025-03-05T00:00:00"/>
        <d v="2025-03-09T00:00:00"/>
        <d v="2025-03-10T00:00:00"/>
        <d v="2025-03-11T00:00:00"/>
        <d v="2025-03-16T00:00:00"/>
        <d v="2025-03-27T00:00:00"/>
        <d v="2025-03-28T00:00:00"/>
        <d v="2025-03-29T00:00:00"/>
        <d v="2025-03-30T00:00:00"/>
        <d v="2025-03-31T00:00:00"/>
        <d v="2025-04-02T00:00:00"/>
        <d v="2025-04-03T00:00:00"/>
        <d v="2025-04-13T00:00:00"/>
        <d v="2025-04-14T00:00:00"/>
        <d v="2025-04-17T00:00:00"/>
        <d v="2025-04-30T00:00:00"/>
        <d v="2025-05-15T00:00:00"/>
        <d v="2025-05-21T00:00:00"/>
        <d v="2025-05-22T00:00:00"/>
        <d v="2025-05-25T00:00:00"/>
        <d v="2025-05-29T00:00:00"/>
        <d v="2025-05-31T00:00:00"/>
        <d v="2025-06-02T00:00:00"/>
        <d v="2025-06-03T00:00:00"/>
        <d v="2025-06-05T00:00:00"/>
        <d v="2025-06-06T00:00:00"/>
        <d v="2025-06-22T00:00:00"/>
        <d v="2025-07-10T00:00:00"/>
        <d v="2025-07-24T00:00:00"/>
        <d v="2025-07-28T00:00:00"/>
        <d v="2025-07-31T00:00:00"/>
        <d v="2025-08-03T00:00:00"/>
        <d v="2025-08-07T00:00:00"/>
        <d v="2025-08-10T00:00:00"/>
        <d v="2025-08-13T00:00:00"/>
        <d v="2025-08-15T00:00:00"/>
        <d v="2025-08-16T00:00:00"/>
        <d v="2025-08-23T00:00:00"/>
        <d v="2025-08-24T00:00:00"/>
        <d v="2025-08-29T00:00:00"/>
      </sharedItems>
    </cacheField>
    <cacheField name="Description" numFmtId="0">
      <sharedItems/>
    </cacheField>
    <cacheField name="Transaction Categories" numFmtId="0">
      <sharedItems count="8">
        <s v="Airtime"/>
        <s v="Transfer Sent"/>
        <s v="Transfer Received"/>
        <s v="Income"/>
        <s v="VAT"/>
        <s v="Others"/>
        <s v="POS"/>
        <s v="ALAWEE"/>
      </sharedItems>
    </cacheField>
    <cacheField name="Debit (NGN)" numFmtId="0">
      <sharedItems/>
    </cacheField>
    <cacheField name="Credit (NGN)" numFmtId="0">
      <sharedItems/>
    </cacheField>
    <cacheField name="Balance (NGN)" numFmtId="0">
      <sharedItems containsSemiMixedTypes="0" containsString="0" containsNumber="1" minValue="0" maxValue="1079878.3799999999"/>
    </cacheField>
    <cacheField name="Debit" numFmtId="0">
      <sharedItems containsSemiMixedTypes="0" containsString="0" containsNumber="1" minValue="0" maxValue="1000000"/>
    </cacheField>
    <cacheField name="Credit" numFmtId="0">
      <sharedItems containsSemiMixedTypes="0" containsString="0" containsNumber="1" minValue="0" maxValue="600000"/>
    </cacheField>
    <cacheField name="Transaction Mode" numFmtId="0">
      <sharedItems count="2">
        <s v="Debit"/>
        <s v="Credit"/>
      </sharedItems>
    </cacheField>
    <cacheField name="Processing Lag" numFmtId="0">
      <sharedItems count="3">
        <s v="Same day"/>
        <s v="Delay"/>
        <s v="Early"/>
      </sharedItems>
    </cacheField>
    <cacheField name="Posted_Month" numFmtId="0">
      <sharedItems count="12">
        <s v="May"/>
        <s v="June"/>
        <s v="July"/>
        <s v="August"/>
        <s v="September"/>
        <s v="October"/>
        <s v="November"/>
        <s v="December"/>
        <s v="January"/>
        <s v="February"/>
        <s v="March"/>
        <s v="April"/>
      </sharedItems>
    </cacheField>
    <cacheField name="Posted_Year" numFmtId="0">
      <sharedItems containsSemiMixedTypes="0" containsString="0" containsNumber="1" containsInteger="1" minValue="2024" maxValue="2025" count="2">
        <n v="2025"/>
        <n v="2024"/>
      </sharedItems>
    </cacheField>
    <cacheField name="Value_Month" numFmtId="0">
      <sharedItems count="12">
        <s v="May"/>
        <s v="June"/>
        <s v="July"/>
        <s v="August"/>
        <s v="September"/>
        <s v="October"/>
        <s v="November"/>
        <s v="December"/>
        <s v="January"/>
        <s v="February"/>
        <s v="March"/>
        <s v="April"/>
      </sharedItems>
    </cacheField>
    <cacheField name="Value_Year" numFmtId="0">
      <sharedItems containsSemiMixedTypes="0" containsString="0" containsNumber="1" containsInteger="1" minValue="2024" maxValue="2025" count="2">
        <n v="2025"/>
        <n v="2024"/>
      </sharedItems>
    </cacheField>
    <cacheField name="Total Transaction Amount" numFmtId="0" formula="Debit+Credit" databaseField="0"/>
    <cacheField name="Net Movemt" numFmtId="0" formula="Debit-Credit" databaseField="0"/>
    <cacheField name="Net Movement" numFmtId="0" formula="Credit-Debit" databaseField="0"/>
  </cacheFields>
  <extLst>
    <ext xmlns:x14="http://schemas.microsoft.com/office/spreadsheetml/2009/9/main" uri="{725AE2AE-9491-48be-B2B4-4EB974FC3084}">
      <x14:pivotCacheDefinition pivotCacheId="1657839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5">
  <r>
    <d v="2025-05-02T00:00:00"/>
    <x v="0"/>
    <s v="BILLS/ AIRTEL DATA/08127559574"/>
    <x v="0"/>
    <s v="1,500.00"/>
    <s v="-"/>
    <n v="609.91999999999996"/>
    <n v="1500"/>
    <n v="0"/>
    <x v="0"/>
    <x v="0"/>
    <x v="0"/>
    <x v="0"/>
    <x v="0"/>
    <x v="0"/>
  </r>
  <r>
    <d v="2025-05-03T00:00:00"/>
    <x v="0"/>
    <s v="TRF//FRM KAFILAT AYOMIDE LAWAL TO KAFILAT_x000a_AYOMIDE LAWAL"/>
    <x v="1"/>
    <s v="609.00"/>
    <s v="-"/>
    <n v="0.92"/>
    <n v="609"/>
    <n v="0"/>
    <x v="0"/>
    <x v="1"/>
    <x v="0"/>
    <x v="0"/>
    <x v="0"/>
    <x v="0"/>
  </r>
  <r>
    <d v="2025-05-03T00:00:00"/>
    <x v="1"/>
    <s v="Transfer from Kafilat Ayomide Lawal"/>
    <x v="2"/>
    <s v="-"/>
    <s v="10,000.00"/>
    <n v="10000.92"/>
    <n v="0"/>
    <n v="10000"/>
    <x v="1"/>
    <x v="0"/>
    <x v="0"/>
    <x v="0"/>
    <x v="0"/>
    <x v="0"/>
  </r>
  <r>
    <d v="2025-05-04T00:00:00"/>
    <x v="1"/>
    <s v="FGN ELECTRONIC MONEY TRANSFER LEVY"/>
    <x v="1"/>
    <s v="50.00"/>
    <s v="-"/>
    <n v="9950.92"/>
    <n v="50"/>
    <n v="0"/>
    <x v="0"/>
    <x v="1"/>
    <x v="0"/>
    <x v="0"/>
    <x v="0"/>
    <x v="0"/>
  </r>
  <r>
    <d v="2025-05-04T00:00:00"/>
    <x v="2"/>
    <s v="TRF//FRM KAFILAT AYOMIDE LAWAL TO KAFILAT_x000a_AYOMIDE LAWAL"/>
    <x v="1"/>
    <s v="500.00"/>
    <s v="-"/>
    <n v="9450.92"/>
    <n v="500"/>
    <n v="0"/>
    <x v="0"/>
    <x v="0"/>
    <x v="0"/>
    <x v="0"/>
    <x v="0"/>
    <x v="0"/>
  </r>
  <r>
    <d v="2025-05-06T00:00:00"/>
    <x v="3"/>
    <s v="TRF//FRM KAFILAT AYOMIDE LAWAL TO Kafilat_x000a_Ayomide Lawal- C03"/>
    <x v="1"/>
    <s v="2,000.00"/>
    <s v="-"/>
    <n v="7450.92"/>
    <n v="2000"/>
    <n v="0"/>
    <x v="0"/>
    <x v="1"/>
    <x v="0"/>
    <x v="0"/>
    <x v="0"/>
    <x v="0"/>
  </r>
  <r>
    <d v="2025-05-06T00:00:00"/>
    <x v="3"/>
    <s v="COMMISSION TRF//FRM KAFILAT AYOMIDE LAWAL_x000a_TO Kafilat Ayomide Lawal- C03"/>
    <x v="1"/>
    <s v="10.00"/>
    <s v="-"/>
    <n v="7440.92"/>
    <n v="10"/>
    <n v="0"/>
    <x v="0"/>
    <x v="1"/>
    <x v="0"/>
    <x v="0"/>
    <x v="0"/>
    <x v="0"/>
  </r>
  <r>
    <d v="2025-05-06T00:00:00"/>
    <x v="3"/>
    <s v="VAT TRF//FRM KAFILAT AYOMIDE LAWAL TO Kafilat_x000a_Ayomide Lawal- C03"/>
    <x v="1"/>
    <s v="0.75"/>
    <s v="-"/>
    <n v="7440.17"/>
    <n v="0.75"/>
    <n v="0"/>
    <x v="0"/>
    <x v="1"/>
    <x v="0"/>
    <x v="0"/>
    <x v="0"/>
    <x v="0"/>
  </r>
  <r>
    <d v="2025-05-08T00:00:00"/>
    <x v="4"/>
    <s v="TRF//FRM KAFILAT AYOMIDE LAWAL TO Kafilat_x000a_Ayomide Lawal- C03"/>
    <x v="1"/>
    <s v="4,000.00"/>
    <s v="-"/>
    <n v="3440.17"/>
    <n v="4000"/>
    <n v="0"/>
    <x v="0"/>
    <x v="0"/>
    <x v="0"/>
    <x v="0"/>
    <x v="0"/>
    <x v="0"/>
  </r>
  <r>
    <d v="2025-05-08T00:00:00"/>
    <x v="4"/>
    <s v="COMMISSION TRF//FRM KAFILAT AYOMIDE LAWAL_x000a_TO Kafilat Ayomide Lawal- C03"/>
    <x v="1"/>
    <s v="10.00"/>
    <s v="-"/>
    <n v="3430.17"/>
    <n v="10"/>
    <n v="0"/>
    <x v="0"/>
    <x v="0"/>
    <x v="0"/>
    <x v="0"/>
    <x v="0"/>
    <x v="0"/>
  </r>
  <r>
    <d v="2025-05-08T00:00:00"/>
    <x v="4"/>
    <s v="VAT TRF//FRM KAFILAT AYOMIDE LAWAL TO Kafilat_x000a_Ayomide Lawal- C03"/>
    <x v="1"/>
    <s v="0.75"/>
    <s v="-"/>
    <n v="3429.42"/>
    <n v="0.75"/>
    <n v="0"/>
    <x v="0"/>
    <x v="0"/>
    <x v="0"/>
    <x v="0"/>
    <x v="0"/>
    <x v="0"/>
  </r>
  <r>
    <d v="2025-05-09T00:00:00"/>
    <x v="5"/>
    <s v="TRF//FRM KAFILAT AYOMIDE LAWAL TO Kafilat_x000a_Ayomide Lawal- C03"/>
    <x v="1"/>
    <s v="2,000.00"/>
    <s v="-"/>
    <n v="1429.42"/>
    <n v="2000"/>
    <n v="0"/>
    <x v="0"/>
    <x v="0"/>
    <x v="0"/>
    <x v="0"/>
    <x v="0"/>
    <x v="0"/>
  </r>
  <r>
    <d v="2025-05-09T00:00:00"/>
    <x v="5"/>
    <s v="COMMISSION TRF//FRM KAFILAT AYOMIDE LAWAL_x000a_TO Kafilat Ayomide Lawal- C03"/>
    <x v="1"/>
    <s v="10.00"/>
    <s v="-"/>
    <n v="1419.42"/>
    <n v="10"/>
    <n v="0"/>
    <x v="0"/>
    <x v="0"/>
    <x v="0"/>
    <x v="0"/>
    <x v="0"/>
    <x v="0"/>
  </r>
  <r>
    <d v="2025-05-09T00:00:00"/>
    <x v="5"/>
    <s v="VAT TRF//FRM KAFILAT AYOMIDE LAWAL TO Kafilat_x000a_Ayomide Lawal- C03"/>
    <x v="1"/>
    <s v="0.75"/>
    <s v="-"/>
    <n v="1418.67"/>
    <n v="0.75"/>
    <n v="0"/>
    <x v="0"/>
    <x v="0"/>
    <x v="0"/>
    <x v="0"/>
    <x v="0"/>
    <x v="0"/>
  </r>
  <r>
    <d v="2025-05-19T00:00:00"/>
    <x v="6"/>
    <s v="TRF//FRM KAFILAT AYOMIDE LAWAL TO Kafilat_x000a_Ayomide Lawal- C03"/>
    <x v="1"/>
    <s v="1,000.00"/>
    <s v="-"/>
    <n v="418.67"/>
    <n v="1000"/>
    <n v="0"/>
    <x v="0"/>
    <x v="0"/>
    <x v="0"/>
    <x v="0"/>
    <x v="0"/>
    <x v="0"/>
  </r>
  <r>
    <d v="2025-05-19T00:00:00"/>
    <x v="6"/>
    <s v="COMMISSION TRF//FRM KAFILAT AYOMIDE LAWAL_x000a_TO Kafilat Ayomide Lawal- C03"/>
    <x v="1"/>
    <s v="10.00"/>
    <s v="-"/>
    <n v="408.67"/>
    <n v="10"/>
    <n v="0"/>
    <x v="0"/>
    <x v="0"/>
    <x v="0"/>
    <x v="0"/>
    <x v="0"/>
    <x v="0"/>
  </r>
  <r>
    <d v="2025-05-19T00:00:00"/>
    <x v="6"/>
    <s v="VAT TRF//FRM KAFILAT AYOMIDE LAWAL TO Kafilat_x000a_Ayomide Lawal- C03"/>
    <x v="1"/>
    <s v="0.75"/>
    <s v="-"/>
    <n v="407.92"/>
    <n v="0.75"/>
    <n v="0"/>
    <x v="0"/>
    <x v="0"/>
    <x v="0"/>
    <x v="0"/>
    <x v="0"/>
    <x v="0"/>
  </r>
  <r>
    <d v="2025-05-26T00:00:00"/>
    <x v="7"/>
    <s v="R-1262205341/LADOKE AKI - STAFF may SALAR"/>
    <x v="3"/>
    <s v="-"/>
    <s v="14,142.50"/>
    <n v="14550.42"/>
    <n v="0"/>
    <n v="14142.5"/>
    <x v="1"/>
    <x v="0"/>
    <x v="0"/>
    <x v="0"/>
    <x v="0"/>
    <x v="0"/>
  </r>
  <r>
    <d v="2025-05-27T00:00:00"/>
    <x v="8"/>
    <s v="TRF//FRM KAFILAT AYOMIDE LAWAL TO Kafilat_x000a_Ayomide Lawal- C03"/>
    <x v="1"/>
    <s v="5,000.00"/>
    <s v="-"/>
    <n v="9550.42"/>
    <n v="5000"/>
    <n v="0"/>
    <x v="0"/>
    <x v="0"/>
    <x v="0"/>
    <x v="0"/>
    <x v="0"/>
    <x v="0"/>
  </r>
  <r>
    <d v="2025-05-27T00:00:00"/>
    <x v="8"/>
    <s v="COMMISSION TRF//FRM KAFILAT AYOMIDE LAWAL_x000a_TO Kafilat Ayomide Lawal- C03"/>
    <x v="1"/>
    <s v="10.00"/>
    <s v="-"/>
    <n v="9540.42"/>
    <n v="10"/>
    <n v="0"/>
    <x v="0"/>
    <x v="0"/>
    <x v="0"/>
    <x v="0"/>
    <x v="0"/>
    <x v="0"/>
  </r>
  <r>
    <d v="2025-05-27T00:00:00"/>
    <x v="8"/>
    <s v="VAT TRF//FRM KAFILAT AYOMIDE LAWAL TO Kafilat_x000a_Ayomide Lawal- C03"/>
    <x v="1"/>
    <s v="0.75"/>
    <s v="-"/>
    <n v="9539.67"/>
    <n v="0.75"/>
    <n v="0"/>
    <x v="0"/>
    <x v="0"/>
    <x v="0"/>
    <x v="0"/>
    <x v="0"/>
    <x v="0"/>
  </r>
  <r>
    <d v="2025-05-30T00:00:00"/>
    <x v="9"/>
    <s v="SMS Alert Fee-29/04-28/05/2025 + VAT"/>
    <x v="4"/>
    <s v="70.95"/>
    <s v="-"/>
    <n v="9468.7199999999993"/>
    <n v="70.95"/>
    <n v="0"/>
    <x v="0"/>
    <x v="0"/>
    <x v="0"/>
    <x v="0"/>
    <x v="0"/>
    <x v="0"/>
  </r>
  <r>
    <d v="2025-06-01T00:00:00"/>
    <x v="10"/>
    <s v="TRF//FRM KAFILAT AYOMIDE LAWAL TO Kafilat_x000a_Ayomide Lawal- C03"/>
    <x v="1"/>
    <s v="4,000.00"/>
    <s v="-"/>
    <n v="5468.72"/>
    <n v="4000"/>
    <n v="0"/>
    <x v="0"/>
    <x v="0"/>
    <x v="1"/>
    <x v="0"/>
    <x v="1"/>
    <x v="0"/>
  </r>
  <r>
    <d v="2025-06-01T00:00:00"/>
    <x v="10"/>
    <s v="COMMISSION TRF//FRM KAFILAT AYOMIDE LAWAL_x000a_TO Kafilat Ayomide Lawal- C03"/>
    <x v="1"/>
    <s v="10.00"/>
    <s v="-"/>
    <n v="5458.72"/>
    <n v="10"/>
    <n v="0"/>
    <x v="0"/>
    <x v="0"/>
    <x v="1"/>
    <x v="0"/>
    <x v="1"/>
    <x v="0"/>
  </r>
  <r>
    <d v="2025-06-01T00:00:00"/>
    <x v="10"/>
    <s v="VAT TRF//FRM KAFILAT AYOMIDE LAWAL TO Kafilat_x000a_Ayomide Lawal- C03"/>
    <x v="1"/>
    <s v="0.75"/>
    <s v="-"/>
    <n v="5457.97"/>
    <n v="0.75"/>
    <n v="0"/>
    <x v="0"/>
    <x v="0"/>
    <x v="1"/>
    <x v="0"/>
    <x v="1"/>
    <x v="0"/>
  </r>
  <r>
    <d v="2025-06-09T00:00:00"/>
    <x v="11"/>
    <s v="TRF//FRM KAFILAT AYOMIDE LAWAL TO Kafilat_x000a_Ayomide Lawal- C03"/>
    <x v="1"/>
    <s v="2,000.00"/>
    <s v="-"/>
    <n v="3457.97"/>
    <n v="2000"/>
    <n v="0"/>
    <x v="0"/>
    <x v="0"/>
    <x v="1"/>
    <x v="0"/>
    <x v="1"/>
    <x v="0"/>
  </r>
  <r>
    <d v="2025-06-09T00:00:00"/>
    <x v="11"/>
    <s v="COMMISSION TRF//FRM KAFILAT AYOMIDE LAWAL_x000a_TO Kafilat Ayomide Lawal- C03"/>
    <x v="1"/>
    <s v="10.00"/>
    <s v="-"/>
    <n v="3447.97"/>
    <n v="10"/>
    <n v="0"/>
    <x v="0"/>
    <x v="0"/>
    <x v="1"/>
    <x v="0"/>
    <x v="1"/>
    <x v="0"/>
  </r>
  <r>
    <d v="2025-06-09T00:00:00"/>
    <x v="11"/>
    <s v="VAT TRF//FRM KAFILAT AYOMIDE LAWAL TO Kafilat_x000a_Ayomide Lawal- C03"/>
    <x v="1"/>
    <s v="0.75"/>
    <s v="-"/>
    <n v="3447.22"/>
    <n v="0.75"/>
    <n v="0"/>
    <x v="0"/>
    <x v="0"/>
    <x v="1"/>
    <x v="0"/>
    <x v="1"/>
    <x v="0"/>
  </r>
  <r>
    <d v="2025-06-12T00:00:00"/>
    <x v="12"/>
    <s v="TRF//FRM KAFILAT AYOMIDE LAWAL TO Kafilat_x000a_Ayomide Lawal- C03"/>
    <x v="1"/>
    <s v="1,000.00"/>
    <s v="-"/>
    <n v="2447.2199999999998"/>
    <n v="1000"/>
    <n v="0"/>
    <x v="0"/>
    <x v="0"/>
    <x v="1"/>
    <x v="0"/>
    <x v="1"/>
    <x v="0"/>
  </r>
  <r>
    <d v="2025-06-12T00:00:00"/>
    <x v="12"/>
    <s v="COMMISSION TRF//FRM KAFILAT AYOMIDE LAWAL_x000a_TO Kafilat Ayomide Lawal- C03"/>
    <x v="1"/>
    <s v="10.00"/>
    <s v="-"/>
    <n v="2437.2199999999998"/>
    <n v="10"/>
    <n v="0"/>
    <x v="0"/>
    <x v="0"/>
    <x v="1"/>
    <x v="0"/>
    <x v="1"/>
    <x v="0"/>
  </r>
  <r>
    <d v="2025-06-12T00:00:00"/>
    <x v="12"/>
    <s v="VAT TRF//FRM KAFILAT AYOMIDE LAWAL TO Kafilat_x000a_Ayomide Lawal- C03"/>
    <x v="1"/>
    <s v="0.75"/>
    <s v="-"/>
    <n v="2436.4699999999998"/>
    <n v="0.75"/>
    <n v="0"/>
    <x v="0"/>
    <x v="0"/>
    <x v="1"/>
    <x v="0"/>
    <x v="1"/>
    <x v="0"/>
  </r>
  <r>
    <d v="2025-06-30T00:00:00"/>
    <x v="13"/>
    <s v="SMS Alert Fee-29/05-28/06/2025 + VAT"/>
    <x v="4"/>
    <s v="19.35"/>
    <s v="-"/>
    <n v="2417.12"/>
    <n v="19.350000000000001"/>
    <n v="0"/>
    <x v="0"/>
    <x v="0"/>
    <x v="1"/>
    <x v="0"/>
    <x v="1"/>
    <x v="0"/>
  </r>
  <r>
    <d v="2025-06-30T00:00:00"/>
    <x v="13"/>
    <s v="R-1276704064/LADOKE AKI - JUNE SALARY"/>
    <x v="3"/>
    <s v="-"/>
    <s v="14,142.50"/>
    <n v="16559.62"/>
    <n v="0"/>
    <n v="14142.5"/>
    <x v="1"/>
    <x v="0"/>
    <x v="1"/>
    <x v="0"/>
    <x v="1"/>
    <x v="0"/>
  </r>
  <r>
    <d v="2025-06-30T00:00:00"/>
    <x v="14"/>
    <s v="CREDIT INTEREST CAPITALIZATION"/>
    <x v="5"/>
    <s v="-"/>
    <s v="25.86"/>
    <n v="16585.48"/>
    <n v="0"/>
    <n v="25.86"/>
    <x v="1"/>
    <x v="2"/>
    <x v="1"/>
    <x v="0"/>
    <x v="2"/>
    <x v="0"/>
  </r>
  <r>
    <d v="2025-06-30T00:00:00"/>
    <x v="14"/>
    <s v="WHT ON CREDIT INTEREST"/>
    <x v="5"/>
    <s v="2.59"/>
    <s v="-"/>
    <n v="16582.89"/>
    <n v="2.59"/>
    <n v="0"/>
    <x v="0"/>
    <x v="2"/>
    <x v="1"/>
    <x v="0"/>
    <x v="2"/>
    <x v="0"/>
  </r>
  <r>
    <d v="2025-07-07T00:00:00"/>
    <x v="15"/>
    <s v="TRF//FRM KAFILAT AYOMIDE LAWAL TO Kafilat_x000a_Ayomide Lawal- C03"/>
    <x v="1"/>
    <s v="2,000.00"/>
    <s v="-"/>
    <n v="14582.89"/>
    <n v="2000"/>
    <n v="0"/>
    <x v="0"/>
    <x v="1"/>
    <x v="2"/>
    <x v="0"/>
    <x v="2"/>
    <x v="0"/>
  </r>
  <r>
    <d v="2025-07-07T00:00:00"/>
    <x v="15"/>
    <s v="COMMISSION TRF//FRM KAFILAT AYOMIDE LAWAL_x000a_TO Kafilat Ayomide Lawal- C03"/>
    <x v="1"/>
    <s v="10.00"/>
    <s v="-"/>
    <n v="14572.89"/>
    <n v="10"/>
    <n v="0"/>
    <x v="0"/>
    <x v="1"/>
    <x v="2"/>
    <x v="0"/>
    <x v="2"/>
    <x v="0"/>
  </r>
  <r>
    <d v="2025-07-07T00:00:00"/>
    <x v="15"/>
    <s v="VAT TRF//FRM KAFILAT AYOMIDE LAWAL TO Kafilat_x000a_Ayomide Lawal- C03"/>
    <x v="1"/>
    <s v="0.75"/>
    <s v="-"/>
    <n v="14572.14"/>
    <n v="0.75"/>
    <n v="0"/>
    <x v="0"/>
    <x v="1"/>
    <x v="2"/>
    <x v="0"/>
    <x v="2"/>
    <x v="0"/>
  </r>
  <r>
    <d v="2025-07-07T00:00:00"/>
    <x v="16"/>
    <s v="TRF//FRM KAFILAT AYOMIDE LAWAL TO Kafilat_x000a_Ayomide Lawal- C03"/>
    <x v="1"/>
    <s v="2,000.00"/>
    <s v="-"/>
    <n v="12572.14"/>
    <n v="2000"/>
    <n v="0"/>
    <x v="0"/>
    <x v="0"/>
    <x v="2"/>
    <x v="0"/>
    <x v="2"/>
    <x v="0"/>
  </r>
  <r>
    <d v="2025-07-07T00:00:00"/>
    <x v="16"/>
    <s v="COMMISSION TRF//FRM KAFILAT AYOMIDE LAWAL_x000a_TO Kafilat Ayomide Lawal- C03"/>
    <x v="1"/>
    <s v="10.00"/>
    <s v="-"/>
    <n v="12562.14"/>
    <n v="10"/>
    <n v="0"/>
    <x v="0"/>
    <x v="0"/>
    <x v="2"/>
    <x v="0"/>
    <x v="2"/>
    <x v="0"/>
  </r>
  <r>
    <d v="2025-07-07T00:00:00"/>
    <x v="16"/>
    <s v="VAT TRF//FRM KAFILAT AYOMIDE LAWAL TO Kafilat_x000a_Ayomide Lawal- C03"/>
    <x v="1"/>
    <s v="0.75"/>
    <s v="-"/>
    <n v="12561.39"/>
    <n v="0.75"/>
    <n v="0"/>
    <x v="0"/>
    <x v="0"/>
    <x v="2"/>
    <x v="0"/>
    <x v="2"/>
    <x v="0"/>
  </r>
  <r>
    <d v="2025-07-09T00:00:00"/>
    <x v="17"/>
    <s v="TRF//FRM KAFILAT AYOMIDE LAWAL TO Kafilat_x000a_Ayomide Lawal- C03"/>
    <x v="1"/>
    <s v="2,000.00"/>
    <s v="-"/>
    <n v="10561.39"/>
    <n v="2000"/>
    <n v="0"/>
    <x v="0"/>
    <x v="0"/>
    <x v="2"/>
    <x v="0"/>
    <x v="2"/>
    <x v="0"/>
  </r>
  <r>
    <d v="2025-07-09T00:00:00"/>
    <x v="17"/>
    <s v="COMMISSION TRF//FRM KAFILAT AYOMIDE LAWAL_x000a_TO Kafilat Ayomide Lawal- C03"/>
    <x v="1"/>
    <s v="10.00"/>
    <s v="-"/>
    <n v="10551.39"/>
    <n v="10"/>
    <n v="0"/>
    <x v="0"/>
    <x v="0"/>
    <x v="2"/>
    <x v="0"/>
    <x v="2"/>
    <x v="0"/>
  </r>
  <r>
    <d v="2025-07-09T00:00:00"/>
    <x v="17"/>
    <s v="VAT TRF//FRM KAFILAT AYOMIDE LAWAL TO Kafilat_x000a_Ayomide Lawal- C03"/>
    <x v="1"/>
    <s v="0.75"/>
    <s v="-"/>
    <n v="10550.64"/>
    <n v="0.75"/>
    <n v="0"/>
    <x v="0"/>
    <x v="0"/>
    <x v="2"/>
    <x v="0"/>
    <x v="2"/>
    <x v="0"/>
  </r>
  <r>
    <d v="2025-07-11T00:00:00"/>
    <x v="18"/>
    <s v="TRF//FRM KAFILAT AYOMIDE LAWAL TO KAFILAT_x000a_AYOMIDE LAWAL"/>
    <x v="2"/>
    <s v="-"/>
    <s v="30,000.00"/>
    <n v="40550.639999999999"/>
    <n v="0"/>
    <n v="30000"/>
    <x v="1"/>
    <x v="0"/>
    <x v="2"/>
    <x v="0"/>
    <x v="2"/>
    <x v="0"/>
  </r>
  <r>
    <d v="2025-07-12T00:00:00"/>
    <x v="19"/>
    <s v="TRF//FRM KAFILAT AYOMIDE LAWAL TO Kafilat_x000a_Ayomide Lawal- C03"/>
    <x v="1"/>
    <s v="10,050.00"/>
    <s v="-"/>
    <n v="30500.639999999999"/>
    <n v="10050"/>
    <n v="0"/>
    <x v="0"/>
    <x v="0"/>
    <x v="2"/>
    <x v="0"/>
    <x v="2"/>
    <x v="0"/>
  </r>
  <r>
    <d v="2025-07-12T00:00:00"/>
    <x v="19"/>
    <s v="COMMISSION TRF//FRM KAFILAT AYOMIDE LAWAL_x000a_TO Kafilat Ayomide Lawal- C03"/>
    <x v="1"/>
    <s v="25.00"/>
    <s v="-"/>
    <n v="30475.64"/>
    <n v="25"/>
    <n v="0"/>
    <x v="0"/>
    <x v="0"/>
    <x v="2"/>
    <x v="0"/>
    <x v="2"/>
    <x v="0"/>
  </r>
  <r>
    <d v="2025-07-12T00:00:00"/>
    <x v="19"/>
    <s v="VAT TRF//FRM KAFILAT AYOMIDE LAWAL TO Kafilat_x000a_Ayomide Lawal- C03"/>
    <x v="1"/>
    <s v="1.88"/>
    <s v="-"/>
    <n v="30473.759999999998"/>
    <n v="1.88"/>
    <n v="0"/>
    <x v="0"/>
    <x v="0"/>
    <x v="2"/>
    <x v="0"/>
    <x v="2"/>
    <x v="0"/>
  </r>
  <r>
    <d v="2025-07-12T00:00:00"/>
    <x v="19"/>
    <s v="TRF//FRM KAFILAT AYOMIDE LAWAL TO Kafilat_x000a_Ayomide Lawal- C03"/>
    <x v="1"/>
    <s v="1,000.00"/>
    <s v="-"/>
    <n v="29473.759999999998"/>
    <n v="1000"/>
    <n v="0"/>
    <x v="0"/>
    <x v="0"/>
    <x v="2"/>
    <x v="0"/>
    <x v="2"/>
    <x v="0"/>
  </r>
  <r>
    <d v="2025-07-12T00:00:00"/>
    <x v="19"/>
    <s v="COMMISSION TRF//FRM KAFILAT AYOMIDE LAWAL_x000a_TO Kafilat Ayomide Lawal- C03"/>
    <x v="1"/>
    <s v="10.00"/>
    <s v="-"/>
    <n v="29463.759999999998"/>
    <n v="10"/>
    <n v="0"/>
    <x v="0"/>
    <x v="0"/>
    <x v="2"/>
    <x v="0"/>
    <x v="2"/>
    <x v="0"/>
  </r>
  <r>
    <d v="2025-07-12T00:00:00"/>
    <x v="19"/>
    <s v="VAT TRF//FRM KAFILAT AYOMIDE LAWAL TO Kafilat_x000a_Ayomide Lawal- C03"/>
    <x v="1"/>
    <s v="0.75"/>
    <s v="-"/>
    <n v="29463.01"/>
    <n v="0.75"/>
    <n v="0"/>
    <x v="0"/>
    <x v="0"/>
    <x v="2"/>
    <x v="0"/>
    <x v="2"/>
    <x v="0"/>
  </r>
  <r>
    <d v="2025-07-14T00:00:00"/>
    <x v="20"/>
    <s v="TRF//FRM KAFILAT AYOMIDE LAWAL TO Kafilat_x000a_Ayomide Lawal- C03"/>
    <x v="1"/>
    <s v="2,000.00"/>
    <s v="-"/>
    <n v="27463.01"/>
    <n v="2000"/>
    <n v="0"/>
    <x v="0"/>
    <x v="0"/>
    <x v="2"/>
    <x v="0"/>
    <x v="2"/>
    <x v="0"/>
  </r>
  <r>
    <d v="2025-07-14T00:00:00"/>
    <x v="20"/>
    <s v="COMMISSION TRF//FRM KAFILAT AYOMIDE LAWAL_x000a_TO Kafilat Ayomide Lawal- C03"/>
    <x v="1"/>
    <s v="10.00"/>
    <s v="-"/>
    <n v="27453.01"/>
    <n v="10"/>
    <n v="0"/>
    <x v="0"/>
    <x v="0"/>
    <x v="2"/>
    <x v="0"/>
    <x v="2"/>
    <x v="0"/>
  </r>
  <r>
    <d v="2025-07-14T00:00:00"/>
    <x v="20"/>
    <s v="VAT TRF//FRM KAFILAT AYOMIDE LAWAL TO Kafilat_x000a_Ayomide Lawal- C03"/>
    <x v="1"/>
    <s v="0.75"/>
    <s v="-"/>
    <n v="27452.26"/>
    <n v="0.75"/>
    <n v="0"/>
    <x v="0"/>
    <x v="0"/>
    <x v="2"/>
    <x v="0"/>
    <x v="2"/>
    <x v="0"/>
  </r>
  <r>
    <d v="2025-07-16T00:00:00"/>
    <x v="21"/>
    <s v="MOBILE BILLS PYMT/ AIRTEL/09124024539"/>
    <x v="0"/>
    <s v="2,000.00"/>
    <s v="-"/>
    <n v="25452.26"/>
    <n v="2000"/>
    <n v="0"/>
    <x v="0"/>
    <x v="0"/>
    <x v="2"/>
    <x v="0"/>
    <x v="2"/>
    <x v="0"/>
  </r>
  <r>
    <d v="2025-07-16T00:00:00"/>
    <x v="21"/>
    <s v="MOBILE BILLS PYMT/ AIRTEL/09124024539"/>
    <x v="0"/>
    <s v="350.00"/>
    <s v="-"/>
    <n v="25102.26"/>
    <n v="350"/>
    <n v="0"/>
    <x v="0"/>
    <x v="0"/>
    <x v="2"/>
    <x v="0"/>
    <x v="2"/>
    <x v="0"/>
  </r>
  <r>
    <d v="2025-07-16T00:00:00"/>
    <x v="21"/>
    <s v="MOBILE BILLS PYMT/ AIRTEL/09124024539"/>
    <x v="0"/>
    <s v="1,500.00"/>
    <s v="-"/>
    <n v="23602.26"/>
    <n v="1500"/>
    <n v="0"/>
    <x v="0"/>
    <x v="0"/>
    <x v="2"/>
    <x v="0"/>
    <x v="2"/>
    <x v="0"/>
  </r>
  <r>
    <d v="2025-07-16T00:00:00"/>
    <x v="21"/>
    <s v="TRF//FRM KAFILAT AYOMIDE LAWAL TO Kafilat_x000a_Ayomide Lawal- C03"/>
    <x v="1"/>
    <s v="5,000.00"/>
    <s v="-"/>
    <n v="18602.259999999998"/>
    <n v="5000"/>
    <n v="0"/>
    <x v="0"/>
    <x v="0"/>
    <x v="2"/>
    <x v="0"/>
    <x v="2"/>
    <x v="0"/>
  </r>
  <r>
    <d v="2025-07-16T00:00:00"/>
    <x v="21"/>
    <s v="COMMISSION TRF//FRM KAFILAT AYOMIDE LAWAL_x000a_TO Kafilat Ayomide Lawal- C03"/>
    <x v="1"/>
    <s v="10.00"/>
    <s v="-"/>
    <n v="18592.259999999998"/>
    <n v="10"/>
    <n v="0"/>
    <x v="0"/>
    <x v="0"/>
    <x v="2"/>
    <x v="0"/>
    <x v="2"/>
    <x v="0"/>
  </r>
  <r>
    <d v="2025-07-16T00:00:00"/>
    <x v="21"/>
    <s v="VAT TRF//FRM KAFILAT AYOMIDE LAWAL TO Kafilat_x000a_Ayomide Lawal- C03"/>
    <x v="1"/>
    <s v="0.75"/>
    <s v="-"/>
    <n v="18591.509999999998"/>
    <n v="0.75"/>
    <n v="0"/>
    <x v="0"/>
    <x v="0"/>
    <x v="2"/>
    <x v="0"/>
    <x v="2"/>
    <x v="0"/>
  </r>
  <r>
    <d v="2025-07-17T00:00:00"/>
    <x v="22"/>
    <s v="TRF//FRM KAFILAT AYOMIDE LAWAL TO Kafilat_x000a_Ayomide Lawal- C03"/>
    <x v="1"/>
    <s v="500.00"/>
    <s v="-"/>
    <n v="18091.509999999998"/>
    <n v="500"/>
    <n v="0"/>
    <x v="0"/>
    <x v="0"/>
    <x v="2"/>
    <x v="0"/>
    <x v="2"/>
    <x v="0"/>
  </r>
  <r>
    <d v="2025-07-17T00:00:00"/>
    <x v="22"/>
    <s v="COMMISSION TRF//FRM KAFILAT AYOMIDE LAWAL_x000a_TO Kafilat Ayomide Lawal- C03"/>
    <x v="1"/>
    <s v="10.00"/>
    <s v="-"/>
    <n v="18081.509999999998"/>
    <n v="10"/>
    <n v="0"/>
    <x v="0"/>
    <x v="0"/>
    <x v="2"/>
    <x v="0"/>
    <x v="2"/>
    <x v="0"/>
  </r>
  <r>
    <d v="2025-07-17T00:00:00"/>
    <x v="22"/>
    <s v="VAT TRF//FRM KAFILAT AYOMIDE LAWAL TO Kafilat_x000a_Ayomide Lawal- C03"/>
    <x v="1"/>
    <s v="0.75"/>
    <s v="-"/>
    <n v="18080.759999999998"/>
    <n v="0.75"/>
    <n v="0"/>
    <x v="0"/>
    <x v="0"/>
    <x v="2"/>
    <x v="0"/>
    <x v="2"/>
    <x v="0"/>
  </r>
  <r>
    <d v="2025-07-17T00:00:00"/>
    <x v="22"/>
    <s v="TRF//FRM KAFILAT AYOMIDE LAWAL TO Kafilat_x000a_Ayomide Lawal- C03"/>
    <x v="1"/>
    <s v="1,000.00"/>
    <s v="-"/>
    <n v="17080.759999999998"/>
    <n v="1000"/>
    <n v="0"/>
    <x v="0"/>
    <x v="0"/>
    <x v="2"/>
    <x v="0"/>
    <x v="2"/>
    <x v="0"/>
  </r>
  <r>
    <d v="2025-07-17T00:00:00"/>
    <x v="22"/>
    <s v="COMMISSION TRF//FRM KAFILAT AYOMIDE LAWAL_x000a_TO Kafilat Ayomide Lawal- C03"/>
    <x v="1"/>
    <s v="10.00"/>
    <s v="-"/>
    <n v="17070.759999999998"/>
    <n v="10"/>
    <n v="0"/>
    <x v="0"/>
    <x v="0"/>
    <x v="2"/>
    <x v="0"/>
    <x v="2"/>
    <x v="0"/>
  </r>
  <r>
    <d v="2025-07-17T00:00:00"/>
    <x v="22"/>
    <s v="VAT TRF//FRM KAFILAT AYOMIDE LAWAL TO Kafilat_x000a_Ayomide Lawal- C03"/>
    <x v="1"/>
    <s v="0.75"/>
    <s v="-"/>
    <n v="17070.009999999998"/>
    <n v="0.75"/>
    <n v="0"/>
    <x v="0"/>
    <x v="0"/>
    <x v="2"/>
    <x v="0"/>
    <x v="2"/>
    <x v="0"/>
  </r>
  <r>
    <d v="2025-07-18T00:00:00"/>
    <x v="23"/>
    <s v="TRF//FRM KAFILAT AYOMIDE LAWAL TO Kafilat_x000a_Ayomide Lawal- C03"/>
    <x v="1"/>
    <s v="4,000.00"/>
    <s v="-"/>
    <n v="13070.01"/>
    <n v="4000"/>
    <n v="0"/>
    <x v="0"/>
    <x v="0"/>
    <x v="2"/>
    <x v="0"/>
    <x v="2"/>
    <x v="0"/>
  </r>
  <r>
    <d v="2025-07-18T00:00:00"/>
    <x v="23"/>
    <s v="COMMISSION TRF//FRM KAFILAT AYOMIDE LAWAL_x000a_TO Kafilat Ayomide Lawal- C03"/>
    <x v="1"/>
    <s v="10.00"/>
    <s v="-"/>
    <n v="13060.01"/>
    <n v="10"/>
    <n v="0"/>
    <x v="0"/>
    <x v="0"/>
    <x v="2"/>
    <x v="0"/>
    <x v="2"/>
    <x v="0"/>
  </r>
  <r>
    <d v="2025-07-18T00:00:00"/>
    <x v="23"/>
    <s v="VAT TRF//FRM KAFILAT AYOMIDE LAWAL TO Kafilat_x000a_Ayomide Lawal- C03"/>
    <x v="1"/>
    <s v="0.75"/>
    <s v="-"/>
    <n v="13059.26"/>
    <n v="0.75"/>
    <n v="0"/>
    <x v="0"/>
    <x v="0"/>
    <x v="2"/>
    <x v="0"/>
    <x v="2"/>
    <x v="0"/>
  </r>
  <r>
    <d v="2025-07-19T00:00:00"/>
    <x v="24"/>
    <s v="TRF//FRM KAFILAT AYOMIDE LAWAL TO Kafilat_x000a_Ayomide Lawal- C03"/>
    <x v="1"/>
    <s v="3,000.00"/>
    <s v="-"/>
    <n v="10059.26"/>
    <n v="3000"/>
    <n v="0"/>
    <x v="0"/>
    <x v="0"/>
    <x v="2"/>
    <x v="0"/>
    <x v="2"/>
    <x v="0"/>
  </r>
  <r>
    <d v="2025-07-19T00:00:00"/>
    <x v="24"/>
    <s v="COMMISSION TRF//FRM KAFILAT AYOMIDE LAWAL_x000a_TO Kafilat Ayomide Lawal- C03"/>
    <x v="1"/>
    <s v="10.00"/>
    <s v="-"/>
    <n v="10049.26"/>
    <n v="10"/>
    <n v="0"/>
    <x v="0"/>
    <x v="0"/>
    <x v="2"/>
    <x v="0"/>
    <x v="2"/>
    <x v="0"/>
  </r>
  <r>
    <d v="2025-07-19T00:00:00"/>
    <x v="24"/>
    <s v="VAT TRF//FRM KAFILAT AYOMIDE LAWAL TO Kafilat_x000a_Ayomide Lawal- C03"/>
    <x v="1"/>
    <s v="0.75"/>
    <s v="-"/>
    <n v="10048.51"/>
    <n v="0.75"/>
    <n v="0"/>
    <x v="0"/>
    <x v="0"/>
    <x v="2"/>
    <x v="0"/>
    <x v="2"/>
    <x v="0"/>
  </r>
  <r>
    <d v="2025-07-21T00:00:00"/>
    <x v="25"/>
    <s v="TRF//FRM KAFILAT AYOMIDE LAWAL TO Kafilat_x000a_Ayomide Lawal- C03"/>
    <x v="1"/>
    <s v="1,000.00"/>
    <s v="-"/>
    <n v="9048.51"/>
    <n v="1000"/>
    <n v="0"/>
    <x v="0"/>
    <x v="0"/>
    <x v="2"/>
    <x v="0"/>
    <x v="2"/>
    <x v="0"/>
  </r>
  <r>
    <d v="2025-07-21T00:00:00"/>
    <x v="25"/>
    <s v="COMMISSION TRF//FRM KAFILAT AYOMIDE LAWAL_x000a_TO Kafilat Ayomide Lawal- C03"/>
    <x v="1"/>
    <s v="10.00"/>
    <s v="-"/>
    <n v="9038.51"/>
    <n v="10"/>
    <n v="0"/>
    <x v="0"/>
    <x v="0"/>
    <x v="2"/>
    <x v="0"/>
    <x v="2"/>
    <x v="0"/>
  </r>
  <r>
    <d v="2025-07-21T00:00:00"/>
    <x v="25"/>
    <s v="VAT TRF//FRM KAFILAT AYOMIDE LAWAL TO Kafilat_x000a_Ayomide Lawal- C03"/>
    <x v="1"/>
    <s v="0.75"/>
    <s v="-"/>
    <n v="9037.76"/>
    <n v="0.75"/>
    <n v="0"/>
    <x v="0"/>
    <x v="0"/>
    <x v="2"/>
    <x v="0"/>
    <x v="2"/>
    <x v="0"/>
  </r>
  <r>
    <d v="2025-07-23T00:00:00"/>
    <x v="26"/>
    <s v="TRF//FRM KAFILAT AYOMIDE LAWAL TO Kafilat_x000a_Ayomide Lawal- C03"/>
    <x v="1"/>
    <s v="2,000.00"/>
    <s v="-"/>
    <n v="7037.76"/>
    <n v="2000"/>
    <n v="0"/>
    <x v="0"/>
    <x v="0"/>
    <x v="2"/>
    <x v="0"/>
    <x v="2"/>
    <x v="0"/>
  </r>
  <r>
    <d v="2025-07-23T00:00:00"/>
    <x v="26"/>
    <s v="COMMISSION TRF//FRM KAFILAT AYOMIDE LAWAL_x000a_TO Kafilat Ayomide Lawal- C03"/>
    <x v="1"/>
    <s v="10.00"/>
    <s v="-"/>
    <n v="7027.76"/>
    <n v="10"/>
    <n v="0"/>
    <x v="0"/>
    <x v="0"/>
    <x v="2"/>
    <x v="0"/>
    <x v="2"/>
    <x v="0"/>
  </r>
  <r>
    <d v="2025-07-23T00:00:00"/>
    <x v="26"/>
    <s v="VAT TRF//FRM KAFILAT AYOMIDE LAWAL TO Kafilat_x000a_Ayomide Lawal- C03"/>
    <x v="1"/>
    <s v="0.75"/>
    <s v="-"/>
    <n v="7027.01"/>
    <n v="0.75"/>
    <n v="0"/>
    <x v="0"/>
    <x v="0"/>
    <x v="2"/>
    <x v="0"/>
    <x v="2"/>
    <x v="0"/>
  </r>
  <r>
    <d v="2025-07-25T00:00:00"/>
    <x v="27"/>
    <s v="Transfer from Kafilat Ayomide Lawal"/>
    <x v="2"/>
    <s v="-"/>
    <s v="3,000.00"/>
    <n v="10027.01"/>
    <n v="0"/>
    <n v="3000"/>
    <x v="1"/>
    <x v="0"/>
    <x v="2"/>
    <x v="0"/>
    <x v="2"/>
    <x v="0"/>
  </r>
  <r>
    <d v="2025-07-26T00:00:00"/>
    <x v="28"/>
    <s v="TRF//FRM KAFILAT AYOMIDE LAWAL TO Kafilat_x000a_Ayomide Lawal- C03"/>
    <x v="1"/>
    <s v="2,000.00"/>
    <s v="-"/>
    <n v="8027.01"/>
    <n v="2000"/>
    <n v="0"/>
    <x v="0"/>
    <x v="0"/>
    <x v="2"/>
    <x v="0"/>
    <x v="2"/>
    <x v="0"/>
  </r>
  <r>
    <d v="2025-07-26T00:00:00"/>
    <x v="28"/>
    <s v="COMMISSION TRF//FRM KAFILAT AYOMIDE LAWAL_x000a_TO Kafilat Ayomide Lawal- C03"/>
    <x v="1"/>
    <s v="10.00"/>
    <s v="-"/>
    <n v="8017.01"/>
    <n v="10"/>
    <n v="0"/>
    <x v="0"/>
    <x v="0"/>
    <x v="2"/>
    <x v="0"/>
    <x v="2"/>
    <x v="0"/>
  </r>
  <r>
    <d v="2025-07-26T00:00:00"/>
    <x v="28"/>
    <s v="VAT TRF//FRM KAFILAT AYOMIDE LAWAL TO Kafilat_x000a_Ayomide Lawal- C03"/>
    <x v="1"/>
    <s v="0.75"/>
    <s v="-"/>
    <n v="8016.26"/>
    <n v="0.75"/>
    <n v="0"/>
    <x v="0"/>
    <x v="0"/>
    <x v="2"/>
    <x v="0"/>
    <x v="2"/>
    <x v="0"/>
  </r>
  <r>
    <d v="2025-07-29T00:00:00"/>
    <x v="29"/>
    <s v="R-1293674190/LADOKE AKI - STAFF JULY SALA"/>
    <x v="3"/>
    <s v="-"/>
    <s v="14,142.50"/>
    <n v="22158.76"/>
    <n v="0"/>
    <n v="14142.5"/>
    <x v="1"/>
    <x v="0"/>
    <x v="2"/>
    <x v="0"/>
    <x v="2"/>
    <x v="0"/>
  </r>
  <r>
    <d v="2025-07-29T00:00:00"/>
    <x v="29"/>
    <s v="TRF//FRM KAFILAT AYOMIDE LAWAL TO Kafilat_x000a_Ayomide Lawal- C03"/>
    <x v="1"/>
    <s v="2,000.00"/>
    <s v="-"/>
    <n v="20158.759999999998"/>
    <n v="2000"/>
    <n v="0"/>
    <x v="0"/>
    <x v="0"/>
    <x v="2"/>
    <x v="0"/>
    <x v="2"/>
    <x v="0"/>
  </r>
  <r>
    <d v="2025-07-29T00:00:00"/>
    <x v="29"/>
    <s v="COMMISSION TRF//FRM KAFILAT AYOMIDE LAWAL_x000a_TO Kafilat Ayomide Lawal- C03"/>
    <x v="1"/>
    <s v="10.00"/>
    <s v="-"/>
    <n v="20148.759999999998"/>
    <n v="10"/>
    <n v="0"/>
    <x v="0"/>
    <x v="0"/>
    <x v="2"/>
    <x v="0"/>
    <x v="2"/>
    <x v="0"/>
  </r>
  <r>
    <d v="2025-07-29T00:00:00"/>
    <x v="29"/>
    <s v="VAT TRF//FRM KAFILAT AYOMIDE LAWAL TO Kafilat_x000a_Ayomide Lawal- C03"/>
    <x v="1"/>
    <s v="0.75"/>
    <s v="-"/>
    <n v="20148.009999999998"/>
    <n v="0.75"/>
    <n v="0"/>
    <x v="0"/>
    <x v="0"/>
    <x v="2"/>
    <x v="0"/>
    <x v="2"/>
    <x v="0"/>
  </r>
  <r>
    <d v="2025-07-30T00:00:00"/>
    <x v="30"/>
    <s v="SMS Alert Fee-29/06-28/07/2025 + VAT"/>
    <x v="4"/>
    <s v="129.00"/>
    <s v="-"/>
    <n v="20019.009999999998"/>
    <n v="129"/>
    <n v="0"/>
    <x v="0"/>
    <x v="0"/>
    <x v="2"/>
    <x v="0"/>
    <x v="2"/>
    <x v="0"/>
  </r>
  <r>
    <d v="2025-08-01T00:00:00"/>
    <x v="31"/>
    <s v="TRF//FRM KAFILAT AYOMIDE LAWAL TO Kafilat_x000a_Ayomide Lawal- C03"/>
    <x v="1"/>
    <s v="2,000.00"/>
    <s v="-"/>
    <n v="18019.009999999998"/>
    <n v="2000"/>
    <n v="0"/>
    <x v="0"/>
    <x v="0"/>
    <x v="3"/>
    <x v="0"/>
    <x v="3"/>
    <x v="0"/>
  </r>
  <r>
    <d v="2025-08-01T00:00:00"/>
    <x v="31"/>
    <s v="COMMISSION TRF//FRM KAFILAT AYOMIDE LAWAL_x000a_TO Kafilat Ayomide Lawal- C03"/>
    <x v="1"/>
    <s v="10.00"/>
    <s v="-"/>
    <n v="18009.009999999998"/>
    <n v="10"/>
    <n v="0"/>
    <x v="0"/>
    <x v="0"/>
    <x v="3"/>
    <x v="0"/>
    <x v="3"/>
    <x v="0"/>
  </r>
  <r>
    <d v="2025-08-01T00:00:00"/>
    <x v="31"/>
    <s v="VAT TRF//FRM KAFILAT AYOMIDE LAWAL TO Kafilat_x000a_Ayomide Lawal- C03"/>
    <x v="1"/>
    <s v="0.75"/>
    <s v="-"/>
    <n v="18008.259999999998"/>
    <n v="0.75"/>
    <n v="0"/>
    <x v="0"/>
    <x v="0"/>
    <x v="3"/>
    <x v="0"/>
    <x v="3"/>
    <x v="0"/>
  </r>
  <r>
    <d v="2025-08-01T00:00:00"/>
    <x v="31"/>
    <s v="TRF//FRM KAFILAT AYOMIDE LAWAL TO Kafilat_x000a_Ayomide Lawal- C03"/>
    <x v="1"/>
    <s v="2,000.00"/>
    <s v="-"/>
    <n v="16008.26"/>
    <n v="2000"/>
    <n v="0"/>
    <x v="0"/>
    <x v="0"/>
    <x v="3"/>
    <x v="0"/>
    <x v="3"/>
    <x v="0"/>
  </r>
  <r>
    <d v="2025-08-01T00:00:00"/>
    <x v="31"/>
    <s v="COMMISSION TRF//FRM KAFILAT AYOMIDE LAWAL_x000a_TO Kafilat Ayomide Lawal- C03"/>
    <x v="1"/>
    <s v="10.00"/>
    <s v="-"/>
    <n v="15998.26"/>
    <n v="10"/>
    <n v="0"/>
    <x v="0"/>
    <x v="0"/>
    <x v="3"/>
    <x v="0"/>
    <x v="3"/>
    <x v="0"/>
  </r>
  <r>
    <d v="2025-08-01T00:00:00"/>
    <x v="31"/>
    <s v="VAT TRF//FRM KAFILAT AYOMIDE LAWAL TO Kafilat_x000a_Ayomide Lawal- C03"/>
    <x v="1"/>
    <s v="0.75"/>
    <s v="-"/>
    <n v="15997.51"/>
    <n v="0.75"/>
    <n v="0"/>
    <x v="0"/>
    <x v="0"/>
    <x v="3"/>
    <x v="0"/>
    <x v="3"/>
    <x v="0"/>
  </r>
  <r>
    <d v="2025-08-01T00:00:00"/>
    <x v="31"/>
    <s v="TRF//FRM KAFILAT AYOMIDE LAWAL TO Kafilat_x000a_Ayomide Lawal- C03"/>
    <x v="1"/>
    <s v="2,000.00"/>
    <s v="-"/>
    <n v="13997.51"/>
    <n v="2000"/>
    <n v="0"/>
    <x v="0"/>
    <x v="0"/>
    <x v="3"/>
    <x v="0"/>
    <x v="3"/>
    <x v="0"/>
  </r>
  <r>
    <d v="2025-08-01T00:00:00"/>
    <x v="31"/>
    <s v="COMMISSION TRF//FRM KAFILAT AYOMIDE LAWAL_x000a_TO Kafilat Ayomide Lawal- C03"/>
    <x v="1"/>
    <s v="10.00"/>
    <s v="-"/>
    <n v="13987.51"/>
    <n v="10"/>
    <n v="0"/>
    <x v="0"/>
    <x v="0"/>
    <x v="3"/>
    <x v="0"/>
    <x v="3"/>
    <x v="0"/>
  </r>
  <r>
    <d v="2025-08-01T00:00:00"/>
    <x v="31"/>
    <s v="VAT TRF//FRM KAFILAT AYOMIDE LAWAL TO Kafilat_x000a_Ayomide Lawal- C03"/>
    <x v="1"/>
    <s v="0.75"/>
    <s v="-"/>
    <n v="13986.76"/>
    <n v="0.75"/>
    <n v="0"/>
    <x v="0"/>
    <x v="0"/>
    <x v="3"/>
    <x v="0"/>
    <x v="3"/>
    <x v="0"/>
  </r>
  <r>
    <d v="2025-08-01T00:00:00"/>
    <x v="31"/>
    <s v="TRF//FRM KAFILAT AYOMIDE LAWAL TO KAFILAT_x000a_AYOMIDE LAWAL"/>
    <x v="2"/>
    <s v="-"/>
    <s v="3,000.00"/>
    <n v="16986.759999999998"/>
    <n v="0"/>
    <n v="3000"/>
    <x v="1"/>
    <x v="0"/>
    <x v="3"/>
    <x v="0"/>
    <x v="3"/>
    <x v="0"/>
  </r>
  <r>
    <d v="2025-08-06T00:00:00"/>
    <x v="32"/>
    <s v="TRF//FRM KAFILAT AYOMIDE LAWAL TO Kafilat_x000a_Ayomide Lawal- C03"/>
    <x v="1"/>
    <s v="900.00"/>
    <s v="-"/>
    <n v="16086.76"/>
    <n v="900"/>
    <n v="0"/>
    <x v="0"/>
    <x v="0"/>
    <x v="3"/>
    <x v="0"/>
    <x v="3"/>
    <x v="0"/>
  </r>
  <r>
    <d v="2025-08-06T00:00:00"/>
    <x v="32"/>
    <s v="COMMISSION TRF//FRM KAFILAT AYOMIDE LAWAL_x000a_TO Kafilat Ayomide Lawal- C03"/>
    <x v="1"/>
    <s v="10.00"/>
    <s v="-"/>
    <n v="16076.76"/>
    <n v="10"/>
    <n v="0"/>
    <x v="0"/>
    <x v="0"/>
    <x v="3"/>
    <x v="0"/>
    <x v="3"/>
    <x v="0"/>
  </r>
  <r>
    <d v="2025-08-06T00:00:00"/>
    <x v="32"/>
    <s v="VAT TRF//FRM KAFILAT AYOMIDE LAWAL TO Kafilat_x000a_Ayomide Lawal- C03"/>
    <x v="1"/>
    <s v="0.75"/>
    <s v="-"/>
    <n v="16076.01"/>
    <n v="0.75"/>
    <n v="0"/>
    <x v="0"/>
    <x v="0"/>
    <x v="3"/>
    <x v="0"/>
    <x v="3"/>
    <x v="0"/>
  </r>
  <r>
    <d v="2025-08-08T00:00:00"/>
    <x v="33"/>
    <s v="TRF//FRM KAFILAT AYOMIDE LAWAL TO KAFILAT_x000a_AYOMIDE LAWAL"/>
    <x v="2"/>
    <s v="-"/>
    <s v="863.00"/>
    <n v="16939.009999999998"/>
    <n v="0"/>
    <n v="863"/>
    <x v="1"/>
    <x v="0"/>
    <x v="3"/>
    <x v="0"/>
    <x v="3"/>
    <x v="0"/>
  </r>
  <r>
    <d v="2025-08-08T00:00:00"/>
    <x v="33"/>
    <s v="Transfer from Kafilat Ayomide Lawal"/>
    <x v="2"/>
    <s v="-"/>
    <s v="2,100.00"/>
    <n v="19039.009999999998"/>
    <n v="0"/>
    <n v="2100"/>
    <x v="1"/>
    <x v="0"/>
    <x v="3"/>
    <x v="0"/>
    <x v="3"/>
    <x v="0"/>
  </r>
  <r>
    <d v="2025-08-09T00:00:00"/>
    <x v="34"/>
    <s v="TRF//FRM KAFILAT AYOMIDE LAWAL TO KAFILAT_x000a_AYOMIDE LAWAL"/>
    <x v="1"/>
    <s v="1,000.00"/>
    <s v="-"/>
    <n v="18039.009999999998"/>
    <n v="1000"/>
    <n v="0"/>
    <x v="0"/>
    <x v="0"/>
    <x v="3"/>
    <x v="0"/>
    <x v="3"/>
    <x v="0"/>
  </r>
  <r>
    <d v="2025-08-10T00:00:00"/>
    <x v="34"/>
    <s v="TRF//FRM KAFILAT AYOMIDE LAWAL TO Kafilat_x000a_Ayomide Lawal- C03"/>
    <x v="1"/>
    <s v="1,500.00"/>
    <s v="-"/>
    <n v="16539.009999999998"/>
    <n v="1500"/>
    <n v="0"/>
    <x v="0"/>
    <x v="1"/>
    <x v="3"/>
    <x v="0"/>
    <x v="3"/>
    <x v="0"/>
  </r>
  <r>
    <d v="2025-08-10T00:00:00"/>
    <x v="34"/>
    <s v="COMMISSION TRF//FRM KAFILAT AYOMIDE LAWAL_x000a_TO Kafilat Ayomide Lawal- C03"/>
    <x v="1"/>
    <s v="10.00"/>
    <s v="-"/>
    <n v="16529.009999999998"/>
    <n v="10"/>
    <n v="0"/>
    <x v="0"/>
    <x v="1"/>
    <x v="3"/>
    <x v="0"/>
    <x v="3"/>
    <x v="0"/>
  </r>
  <r>
    <d v="2025-08-10T00:00:00"/>
    <x v="34"/>
    <s v="VAT TRF//FRM KAFILAT AYOMIDE LAWAL TO Kafilat_x000a_Ayomide Lawal- C03"/>
    <x v="1"/>
    <s v="0.75"/>
    <s v="-"/>
    <n v="16528.259999999998"/>
    <n v="0.75"/>
    <n v="0"/>
    <x v="0"/>
    <x v="1"/>
    <x v="3"/>
    <x v="0"/>
    <x v="3"/>
    <x v="0"/>
  </r>
  <r>
    <d v="2025-08-12T00:00:00"/>
    <x v="35"/>
    <s v="TRF//FRM KAFILAT AYOMIDE LAWAL TO Kafilat_x000a_Ayomide Lawal- C03"/>
    <x v="1"/>
    <s v="2,000.00"/>
    <s v="-"/>
    <n v="14528.26"/>
    <n v="2000"/>
    <n v="0"/>
    <x v="0"/>
    <x v="0"/>
    <x v="3"/>
    <x v="0"/>
    <x v="3"/>
    <x v="0"/>
  </r>
  <r>
    <d v="2025-08-12T00:00:00"/>
    <x v="35"/>
    <s v="COMMISSION TRF//FRM KAFILAT AYOMIDE LAWAL_x000a_TO Kafilat Ayomide Lawal- C03"/>
    <x v="1"/>
    <s v="10.00"/>
    <s v="-"/>
    <n v="14518.26"/>
    <n v="10"/>
    <n v="0"/>
    <x v="0"/>
    <x v="0"/>
    <x v="3"/>
    <x v="0"/>
    <x v="3"/>
    <x v="0"/>
  </r>
  <r>
    <d v="2025-08-12T00:00:00"/>
    <x v="35"/>
    <s v="VAT TRF//FRM KAFILAT AYOMIDE LAWAL TO Kafilat_x000a_Ayomide Lawal- C03"/>
    <x v="1"/>
    <s v="0.75"/>
    <s v="-"/>
    <n v="14517.51"/>
    <n v="0.75"/>
    <n v="0"/>
    <x v="0"/>
    <x v="0"/>
    <x v="3"/>
    <x v="0"/>
    <x v="3"/>
    <x v="0"/>
  </r>
  <r>
    <d v="2025-08-18T00:00:00"/>
    <x v="36"/>
    <s v="TRF//FRM KAFILAT AYOMIDE LAWAL TO KAFILAT_x000a_AYOMIDE LAWAL"/>
    <x v="2"/>
    <s v="-"/>
    <s v="1,000.00"/>
    <n v="15517.51"/>
    <n v="0"/>
    <n v="1000"/>
    <x v="1"/>
    <x v="0"/>
    <x v="3"/>
    <x v="0"/>
    <x v="3"/>
    <x v="0"/>
  </r>
  <r>
    <d v="2025-08-18T00:00:00"/>
    <x v="36"/>
    <s v="TRF//FRM KAFILAT AYOMIDE LAWAL TO Kafilat_x000a_Ayomide Lawal- C03"/>
    <x v="1"/>
    <s v="1,500.00"/>
    <s v="-"/>
    <n v="14017.51"/>
    <n v="1500"/>
    <n v="0"/>
    <x v="0"/>
    <x v="0"/>
    <x v="3"/>
    <x v="0"/>
    <x v="3"/>
    <x v="0"/>
  </r>
  <r>
    <d v="2025-08-18T00:00:00"/>
    <x v="36"/>
    <s v="COMMISSION TRF//FRM KAFILAT AYOMIDE LAWAL_x000a_TO Kafilat Ayomide Lawal- C03"/>
    <x v="1"/>
    <s v="10.00"/>
    <s v="-"/>
    <n v="14007.51"/>
    <n v="10"/>
    <n v="0"/>
    <x v="0"/>
    <x v="0"/>
    <x v="3"/>
    <x v="0"/>
    <x v="3"/>
    <x v="0"/>
  </r>
  <r>
    <d v="2025-08-18T00:00:00"/>
    <x v="36"/>
    <s v="VAT TRF//FRM KAFILAT AYOMIDE LAWAL TO Kafilat_x000a_Ayomide Lawal- C03"/>
    <x v="1"/>
    <s v="0.75"/>
    <s v="-"/>
    <n v="14006.76"/>
    <n v="0.75"/>
    <n v="0"/>
    <x v="0"/>
    <x v="0"/>
    <x v="3"/>
    <x v="0"/>
    <x v="3"/>
    <x v="0"/>
  </r>
  <r>
    <d v="2025-08-21T00:00:00"/>
    <x v="37"/>
    <s v="TRF//FRM KAFILAT AYOMIDE LAWAL TO Kafilat_x000a_Ayomide Lawal- C03"/>
    <x v="1"/>
    <s v="5,000.00"/>
    <s v="-"/>
    <n v="9006.76"/>
    <n v="5000"/>
    <n v="0"/>
    <x v="0"/>
    <x v="1"/>
    <x v="3"/>
    <x v="0"/>
    <x v="3"/>
    <x v="0"/>
  </r>
  <r>
    <d v="2025-08-21T00:00:00"/>
    <x v="37"/>
    <s v="COMMISSION TRF//FRM KAFILAT AYOMIDE LAWAL_x000a_TO Kafilat Ayomide Lawal- C03"/>
    <x v="1"/>
    <s v="10.00"/>
    <s v="-"/>
    <n v="8996.76"/>
    <n v="10"/>
    <n v="0"/>
    <x v="0"/>
    <x v="1"/>
    <x v="3"/>
    <x v="0"/>
    <x v="3"/>
    <x v="0"/>
  </r>
  <r>
    <d v="2025-08-21T00:00:00"/>
    <x v="37"/>
    <s v="VAT TRF//FRM KAFILAT AYOMIDE LAWAL TO Kafilat_x000a_Ayomide Lawal- C03"/>
    <x v="1"/>
    <s v="0.75"/>
    <s v="-"/>
    <n v="8996.01"/>
    <n v="0.75"/>
    <n v="0"/>
    <x v="0"/>
    <x v="1"/>
    <x v="3"/>
    <x v="0"/>
    <x v="3"/>
    <x v="0"/>
  </r>
  <r>
    <d v="2025-08-21T00:00:00"/>
    <x v="38"/>
    <s v="TRF//FRM KAFILAT AYOMIDE LAWAL TO Kafilat_x000a_Ayomide Lawal- C03"/>
    <x v="1"/>
    <s v="3,000.00"/>
    <s v="-"/>
    <n v="5996.01"/>
    <n v="3000"/>
    <n v="0"/>
    <x v="0"/>
    <x v="0"/>
    <x v="3"/>
    <x v="0"/>
    <x v="3"/>
    <x v="0"/>
  </r>
  <r>
    <d v="2025-08-21T00:00:00"/>
    <x v="38"/>
    <s v="COMMISSION TRF//FRM KAFILAT AYOMIDE LAWAL_x000a_TO Kafilat Ayomide Lawal- C03"/>
    <x v="1"/>
    <s v="10.00"/>
    <s v="-"/>
    <n v="5986.01"/>
    <n v="10"/>
    <n v="0"/>
    <x v="0"/>
    <x v="0"/>
    <x v="3"/>
    <x v="0"/>
    <x v="3"/>
    <x v="0"/>
  </r>
  <r>
    <d v="2025-08-21T00:00:00"/>
    <x v="38"/>
    <s v="VAT TRF//FRM KAFILAT AYOMIDE LAWAL TO Kafilat_x000a_Ayomide Lawal- C03"/>
    <x v="1"/>
    <s v="0.75"/>
    <s v="-"/>
    <n v="5985.26"/>
    <n v="0.75"/>
    <n v="0"/>
    <x v="0"/>
    <x v="0"/>
    <x v="3"/>
    <x v="0"/>
    <x v="3"/>
    <x v="0"/>
  </r>
  <r>
    <d v="2025-08-26T00:00:00"/>
    <x v="39"/>
    <s v="R-1311469776/LADOKE AKI - AUGUST SALARY"/>
    <x v="3"/>
    <s v="-"/>
    <s v="1,561.85"/>
    <n v="7547.11"/>
    <n v="0"/>
    <n v="1561.85"/>
    <x v="1"/>
    <x v="0"/>
    <x v="3"/>
    <x v="0"/>
    <x v="3"/>
    <x v="0"/>
  </r>
  <r>
    <d v="2025-08-30T00:00:00"/>
    <x v="40"/>
    <s v="SMS Alert Fee-29/07-28/08/2025 + VAT"/>
    <x v="4"/>
    <s v="109.65"/>
    <s v="-"/>
    <n v="7437.46"/>
    <n v="109.65"/>
    <n v="0"/>
    <x v="0"/>
    <x v="0"/>
    <x v="3"/>
    <x v="0"/>
    <x v="3"/>
    <x v="0"/>
  </r>
  <r>
    <d v="2025-08-31T00:00:00"/>
    <x v="41"/>
    <s v="TRF//FRM KAFILAT AYOMIDE LAWAL TO KAFILAT_x000a_AYOMIDE LAWAL"/>
    <x v="1"/>
    <s v="2,000.00"/>
    <s v="-"/>
    <n v="5437.46"/>
    <n v="2000"/>
    <n v="0"/>
    <x v="0"/>
    <x v="0"/>
    <x v="3"/>
    <x v="0"/>
    <x v="3"/>
    <x v="0"/>
  </r>
  <r>
    <d v="2025-08-31T00:00:00"/>
    <x v="41"/>
    <s v="TRF//FRM KAFILAT AYOMIDE LAWAL TO Kafilat_x000a_Ayomide Lawal- C03"/>
    <x v="1"/>
    <s v="5,000.00"/>
    <s v="-"/>
    <n v="437.46"/>
    <n v="5000"/>
    <n v="0"/>
    <x v="0"/>
    <x v="0"/>
    <x v="3"/>
    <x v="0"/>
    <x v="3"/>
    <x v="0"/>
  </r>
  <r>
    <d v="2025-08-31T00:00:00"/>
    <x v="41"/>
    <s v="COMMISSION TRF//FRM KAFILAT AYOMIDE LAWAL_x000a_TO Kafilat Ayomide Lawal- C03"/>
    <x v="1"/>
    <s v="10.00"/>
    <s v="-"/>
    <n v="427.46"/>
    <n v="10"/>
    <n v="0"/>
    <x v="0"/>
    <x v="0"/>
    <x v="3"/>
    <x v="0"/>
    <x v="3"/>
    <x v="0"/>
  </r>
  <r>
    <d v="2025-08-31T00:00:00"/>
    <x v="41"/>
    <s v="VAT TRF//FRM KAFILAT AYOMIDE LAWAL TO Kafilat_x000a_Ayomide Lawal- C03"/>
    <x v="1"/>
    <s v="0.75"/>
    <s v="-"/>
    <n v="426.71"/>
    <n v="0.75"/>
    <n v="0"/>
    <x v="0"/>
    <x v="0"/>
    <x v="3"/>
    <x v="0"/>
    <x v="3"/>
    <x v="0"/>
  </r>
  <r>
    <d v="2025-09-06T00:00:00"/>
    <x v="42"/>
    <s v="Transfer from Kafilat Ayomide Lawal"/>
    <x v="2"/>
    <s v="-"/>
    <s v="20,800.00"/>
    <n v="21226.71"/>
    <n v="0"/>
    <n v="20800"/>
    <x v="1"/>
    <x v="1"/>
    <x v="4"/>
    <x v="0"/>
    <x v="4"/>
    <x v="0"/>
  </r>
  <r>
    <d v="2025-09-07T00:00:00"/>
    <x v="43"/>
    <s v="Transfer from Kafilat Ayomide Lawal"/>
    <x v="2"/>
    <s v="-"/>
    <s v="128,000.00"/>
    <n v="149226.70000000001"/>
    <n v="0"/>
    <n v="128000"/>
    <x v="1"/>
    <x v="0"/>
    <x v="4"/>
    <x v="0"/>
    <x v="4"/>
    <x v="0"/>
  </r>
  <r>
    <d v="2025-09-07T00:00:00"/>
    <x v="43"/>
    <s v="Transfer from BASIT ADEMOLA MAKINDE"/>
    <x v="2"/>
    <s v="-"/>
    <s v="1,000.00"/>
    <n v="150226.70000000001"/>
    <n v="0"/>
    <n v="1000"/>
    <x v="1"/>
    <x v="0"/>
    <x v="4"/>
    <x v="0"/>
    <x v="4"/>
    <x v="0"/>
  </r>
  <r>
    <d v="2025-09-07T00:00:00"/>
    <x v="43"/>
    <s v="USSD NIP Transfer from 08064886321 to KAFILAT_x000a_AYOMIDE LAWAL._x000a_000013250906222142000398830532"/>
    <x v="2"/>
    <s v="-"/>
    <s v="50,000.00"/>
    <n v="200226.7"/>
    <n v="0"/>
    <n v="50000"/>
    <x v="1"/>
    <x v="0"/>
    <x v="4"/>
    <x v="0"/>
    <x v="4"/>
    <x v="0"/>
  </r>
  <r>
    <d v="2025-09-07T00:00:00"/>
    <x v="43"/>
    <s v="TRF//FRM KAFILAT AYOMIDE LAWAL TO SHUAIB_x000a_ALAMU AKINYEMI- 035"/>
    <x v="1"/>
    <s v="200,000.00"/>
    <s v="-"/>
    <n v="226.71"/>
    <n v="200000"/>
    <n v="0"/>
    <x v="0"/>
    <x v="0"/>
    <x v="4"/>
    <x v="0"/>
    <x v="4"/>
    <x v="0"/>
  </r>
  <r>
    <d v="2025-09-07T00:00:00"/>
    <x v="43"/>
    <s v="COMMISSION TRF//FRM KAFILAT AYOMIDE LAWAL_x000a_TO SHUAIB ALAMU AKINYEMI- 035"/>
    <x v="1"/>
    <s v="50.00"/>
    <s v="-"/>
    <n v="176.71"/>
    <n v="50"/>
    <n v="0"/>
    <x v="0"/>
    <x v="0"/>
    <x v="4"/>
    <x v="0"/>
    <x v="4"/>
    <x v="0"/>
  </r>
  <r>
    <d v="2025-09-07T00:00:00"/>
    <x v="43"/>
    <s v="VAT TRF//FRM KAFILAT AYOMIDE LAWAL TO_x000a_SHUAIB ALAMU AKINYEMI- 035"/>
    <x v="1"/>
    <s v="3.75"/>
    <s v="-"/>
    <n v="172.96"/>
    <n v="3.75"/>
    <n v="0"/>
    <x v="0"/>
    <x v="0"/>
    <x v="4"/>
    <x v="0"/>
    <x v="4"/>
    <x v="0"/>
  </r>
  <r>
    <d v="2025-09-07T00:00:00"/>
    <x v="43"/>
    <s v="TRF//FRM KAFILAT AYOMIDE LAWAL TO KAFILAT_x000a_AYOMIDE LAWAL"/>
    <x v="1"/>
    <s v="22.00"/>
    <s v="-"/>
    <n v="150.96"/>
    <n v="22"/>
    <n v="0"/>
    <x v="0"/>
    <x v="0"/>
    <x v="4"/>
    <x v="0"/>
    <x v="4"/>
    <x v="0"/>
  </r>
  <r>
    <d v="2025-09-07T00:00:00"/>
    <x v="44"/>
    <s v="FGN ELECTRONIC MONEY TRANSFER LEVY"/>
    <x v="1"/>
    <s v="50.00"/>
    <s v="-"/>
    <n v="100.96"/>
    <n v="50"/>
    <n v="0"/>
    <x v="0"/>
    <x v="1"/>
    <x v="4"/>
    <x v="0"/>
    <x v="4"/>
    <x v="0"/>
  </r>
  <r>
    <d v="2025-09-07T00:00:00"/>
    <x v="43"/>
    <s v="Transfer from Kafilat Ayomide Lawal"/>
    <x v="2"/>
    <s v="-"/>
    <s v="90,000.00"/>
    <n v="90100.96"/>
    <n v="0"/>
    <n v="90000"/>
    <x v="1"/>
    <x v="0"/>
    <x v="4"/>
    <x v="0"/>
    <x v="4"/>
    <x v="0"/>
  </r>
  <r>
    <d v="2025-09-07T00:00:00"/>
    <x v="43"/>
    <s v="TRF//FRM KAFILAT AYOMIDE LAWAL TO KAFILAT_x000a_AYOMIDE LAWAL"/>
    <x v="2"/>
    <s v="-"/>
    <s v="10,000.00"/>
    <n v="100100.96"/>
    <n v="0"/>
    <n v="10000"/>
    <x v="1"/>
    <x v="0"/>
    <x v="4"/>
    <x v="0"/>
    <x v="4"/>
    <x v="0"/>
  </r>
  <r>
    <d v="2025-09-07T00:00:00"/>
    <x v="43"/>
    <s v="Transfer from AKEEM KOLAWOLE ISIAQ"/>
    <x v="2"/>
    <s v="-"/>
    <s v="100.00"/>
    <n v="100200.96000000001"/>
    <n v="0"/>
    <n v="100"/>
    <x v="1"/>
    <x v="0"/>
    <x v="4"/>
    <x v="0"/>
    <x v="4"/>
    <x v="0"/>
  </r>
  <r>
    <d v="2025-09-07T00:00:00"/>
    <x v="43"/>
    <s v="Transfer from AKEEM KOLAWOLE ISIAQ"/>
    <x v="2"/>
    <s v="-"/>
    <s v="100.00"/>
    <n v="100300.96"/>
    <n v="0"/>
    <n v="100"/>
    <x v="1"/>
    <x v="0"/>
    <x v="4"/>
    <x v="0"/>
    <x v="4"/>
    <x v="0"/>
  </r>
  <r>
    <d v="2025-09-07T00:00:00"/>
    <x v="43"/>
    <s v="TRF//FRM KAFILAT AYOMIDE LAWAL TO DOLLATAK_x000a_VENTURES- 214"/>
    <x v="1"/>
    <s v="100,000.00"/>
    <s v="-"/>
    <n v="300.95999999999998"/>
    <n v="100000"/>
    <n v="0"/>
    <x v="0"/>
    <x v="0"/>
    <x v="4"/>
    <x v="0"/>
    <x v="4"/>
    <x v="0"/>
  </r>
  <r>
    <d v="2025-09-07T00:00:00"/>
    <x v="43"/>
    <s v="COMMISSION TRF//FRM KAFILAT AYOMIDE LAWAL_x000a_TO DOLLATAK VENTURES- 214"/>
    <x v="1"/>
    <s v="50.00"/>
    <s v="-"/>
    <n v="250.96"/>
    <n v="50"/>
    <n v="0"/>
    <x v="0"/>
    <x v="0"/>
    <x v="4"/>
    <x v="0"/>
    <x v="4"/>
    <x v="0"/>
  </r>
  <r>
    <d v="2025-09-07T00:00:00"/>
    <x v="43"/>
    <s v="VAT TRF//FRM KAFILAT AYOMIDE LAWAL TO_x000a_DOLLATAK VENTURES- 214"/>
    <x v="1"/>
    <s v="3.75"/>
    <s v="-"/>
    <n v="247.21"/>
    <n v="3.75"/>
    <n v="0"/>
    <x v="0"/>
    <x v="0"/>
    <x v="4"/>
    <x v="0"/>
    <x v="4"/>
    <x v="0"/>
  </r>
  <r>
    <d v="2025-09-14T00:00:00"/>
    <x v="45"/>
    <s v="FGN ELECTRONIC MONEY TRANSFER LEVY"/>
    <x v="1"/>
    <s v="150.00"/>
    <s v="-"/>
    <n v="97.21"/>
    <n v="150"/>
    <n v="0"/>
    <x v="0"/>
    <x v="1"/>
    <x v="4"/>
    <x v="0"/>
    <x v="4"/>
    <x v="0"/>
  </r>
  <r>
    <d v="2025-09-16T00:00:00"/>
    <x v="46"/>
    <s v="SHUAIB ALAMU AKINYEMI/Access Bank-"/>
    <x v="2"/>
    <s v="-"/>
    <s v="300,000.00"/>
    <n v="300097.21999999997"/>
    <n v="0"/>
    <n v="300000"/>
    <x v="1"/>
    <x v="0"/>
    <x v="4"/>
    <x v="0"/>
    <x v="4"/>
    <x v="0"/>
  </r>
  <r>
    <d v="2025-09-17T00:00:00"/>
    <x v="47"/>
    <s v="TRF//FRM KAFILAT AYOMIDE LAWAL TO_x000a_OLAMILEKAN MICHAEL FASEUN- C03"/>
    <x v="1"/>
    <s v="260,000.00"/>
    <s v="-"/>
    <n v="40097.21"/>
    <n v="260000"/>
    <n v="0"/>
    <x v="0"/>
    <x v="0"/>
    <x v="4"/>
    <x v="0"/>
    <x v="4"/>
    <x v="0"/>
  </r>
  <r>
    <d v="2025-09-17T00:00:00"/>
    <x v="47"/>
    <s v="COMMISSION TRF//FRM KAFILAT AYOMIDE LAWAL_x000a_TO OLAMILEKAN MICHAEL FASEUN- C03"/>
    <x v="1"/>
    <s v="50.00"/>
    <s v="-"/>
    <n v="40047.21"/>
    <n v="50"/>
    <n v="0"/>
    <x v="0"/>
    <x v="0"/>
    <x v="4"/>
    <x v="0"/>
    <x v="4"/>
    <x v="0"/>
  </r>
  <r>
    <d v="2025-09-17T00:00:00"/>
    <x v="47"/>
    <s v="VAT TRF//FRM KAFILAT AYOMIDE LAWAL TO_x000a_OLAMILEKAN MICHAEL FASEUN- C03"/>
    <x v="1"/>
    <s v="3.75"/>
    <s v="-"/>
    <n v="40043.46"/>
    <n v="3.75"/>
    <n v="0"/>
    <x v="0"/>
    <x v="0"/>
    <x v="4"/>
    <x v="0"/>
    <x v="4"/>
    <x v="0"/>
  </r>
  <r>
    <d v="2025-09-18T00:00:00"/>
    <x v="48"/>
    <s v="TRF//FRM KAFILAT AYOMIDE LAWAL TO Kafilat_x000a_Ayomide Lawal- C03"/>
    <x v="1"/>
    <s v="25,900.00"/>
    <s v="-"/>
    <n v="14143.46"/>
    <n v="25900"/>
    <n v="0"/>
    <x v="0"/>
    <x v="0"/>
    <x v="4"/>
    <x v="0"/>
    <x v="4"/>
    <x v="0"/>
  </r>
  <r>
    <d v="2025-09-18T00:00:00"/>
    <x v="48"/>
    <s v="COMMISSION TRF//FRM KAFILAT AYOMIDE LAWAL_x000a_TO Kafilat Ayomide Lawal- C03"/>
    <x v="1"/>
    <s v="25.00"/>
    <s v="-"/>
    <n v="14118.46"/>
    <n v="25"/>
    <n v="0"/>
    <x v="0"/>
    <x v="0"/>
    <x v="4"/>
    <x v="0"/>
    <x v="4"/>
    <x v="0"/>
  </r>
  <r>
    <d v="2025-09-18T00:00:00"/>
    <x v="48"/>
    <s v="VAT TRF//FRM KAFILAT AYOMIDE LAWAL TO Kafilat_x000a_Ayomide Lawal- C03"/>
    <x v="1"/>
    <s v="1.88"/>
    <s v="-"/>
    <n v="14116.58"/>
    <n v="1.88"/>
    <n v="0"/>
    <x v="0"/>
    <x v="0"/>
    <x v="4"/>
    <x v="0"/>
    <x v="4"/>
    <x v="0"/>
  </r>
  <r>
    <d v="2025-09-19T00:00:00"/>
    <x v="49"/>
    <s v="TRF//FRM KAFILAT AYOMIDE LAWAL TO Kafilat_x000a_Ayomide Lawal- C03"/>
    <x v="1"/>
    <s v="4,000.00"/>
    <s v="-"/>
    <n v="10116.58"/>
    <n v="4000"/>
    <n v="0"/>
    <x v="0"/>
    <x v="0"/>
    <x v="4"/>
    <x v="0"/>
    <x v="4"/>
    <x v="0"/>
  </r>
  <r>
    <d v="2025-09-19T00:00:00"/>
    <x v="49"/>
    <s v="COMMISSION TRF//FRM KAFILAT AYOMIDE LAWAL_x000a_TO Kafilat Ayomide Lawal- C03"/>
    <x v="1"/>
    <s v="10.00"/>
    <s v="-"/>
    <n v="10106.58"/>
    <n v="10"/>
    <n v="0"/>
    <x v="0"/>
    <x v="0"/>
    <x v="4"/>
    <x v="0"/>
    <x v="4"/>
    <x v="0"/>
  </r>
  <r>
    <d v="2025-09-19T00:00:00"/>
    <x v="49"/>
    <s v="VAT TRF//FRM KAFILAT AYOMIDE LAWAL TO Kafilat_x000a_Ayomide Lawal- C03"/>
    <x v="1"/>
    <s v="0.75"/>
    <s v="-"/>
    <n v="10105.83"/>
    <n v="0.75"/>
    <n v="0"/>
    <x v="0"/>
    <x v="0"/>
    <x v="4"/>
    <x v="0"/>
    <x v="4"/>
    <x v="0"/>
  </r>
  <r>
    <d v="2025-09-21T00:00:00"/>
    <x v="50"/>
    <s v="FGN ELECTRONIC MONEY TRANSFER LEVY"/>
    <x v="1"/>
    <s v="50.00"/>
    <s v="-"/>
    <n v="10055.83"/>
    <n v="50"/>
    <n v="0"/>
    <x v="0"/>
    <x v="1"/>
    <x v="4"/>
    <x v="0"/>
    <x v="4"/>
    <x v="0"/>
  </r>
  <r>
    <d v="2025-09-22T00:00:00"/>
    <x v="51"/>
    <s v="TRF//FRM KAFILAT AYOMIDE LAWAL TO Kafilat_x000a_Ayomide Lawal- C03"/>
    <x v="1"/>
    <s v="3,000.00"/>
    <s v="-"/>
    <n v="7055.83"/>
    <n v="3000"/>
    <n v="0"/>
    <x v="0"/>
    <x v="0"/>
    <x v="4"/>
    <x v="0"/>
    <x v="4"/>
    <x v="0"/>
  </r>
  <r>
    <d v="2025-09-22T00:00:00"/>
    <x v="51"/>
    <s v="COMMISSION TRF//FRM KAFILAT AYOMIDE LAWAL_x000a_TO Kafilat Ayomide Lawal- C03"/>
    <x v="1"/>
    <s v="10.00"/>
    <s v="-"/>
    <n v="7045.83"/>
    <n v="10"/>
    <n v="0"/>
    <x v="0"/>
    <x v="0"/>
    <x v="4"/>
    <x v="0"/>
    <x v="4"/>
    <x v="0"/>
  </r>
  <r>
    <d v="2025-09-22T00:00:00"/>
    <x v="51"/>
    <s v="VAT TRF//FRM KAFILAT AYOMIDE LAWAL TO Kafilat_x000a_Ayomide Lawal- C03"/>
    <x v="1"/>
    <s v="0.75"/>
    <s v="-"/>
    <n v="7045.08"/>
    <n v="0.75"/>
    <n v="0"/>
    <x v="0"/>
    <x v="0"/>
    <x v="4"/>
    <x v="0"/>
    <x v="4"/>
    <x v="0"/>
  </r>
  <r>
    <d v="2025-09-24T00:00:00"/>
    <x v="52"/>
    <s v="TRF//FRM KAFILAT AYOMIDE LAWAL TO Kafilat_x000a_Ayomide Lawal- C03"/>
    <x v="1"/>
    <s v="2,000.00"/>
    <s v="-"/>
    <n v="5045.08"/>
    <n v="2000"/>
    <n v="0"/>
    <x v="0"/>
    <x v="0"/>
    <x v="4"/>
    <x v="0"/>
    <x v="4"/>
    <x v="0"/>
  </r>
  <r>
    <d v="2025-09-24T00:00:00"/>
    <x v="52"/>
    <s v="COMMISSION TRF//FRM KAFILAT AYOMIDE LAWAL_x000a_TO Kafilat Ayomide Lawal- C03"/>
    <x v="1"/>
    <s v="10.00"/>
    <s v="-"/>
    <n v="5035.08"/>
    <n v="10"/>
    <n v="0"/>
    <x v="0"/>
    <x v="0"/>
    <x v="4"/>
    <x v="0"/>
    <x v="4"/>
    <x v="0"/>
  </r>
  <r>
    <d v="2025-09-24T00:00:00"/>
    <x v="52"/>
    <s v="VAT TRF//FRM KAFILAT AYOMIDE LAWAL TO Kafilat_x000a_Ayomide Lawal- C03"/>
    <x v="1"/>
    <s v="0.75"/>
    <s v="-"/>
    <n v="5034.33"/>
    <n v="0.75"/>
    <n v="0"/>
    <x v="0"/>
    <x v="0"/>
    <x v="4"/>
    <x v="0"/>
    <x v="4"/>
    <x v="0"/>
  </r>
  <r>
    <d v="2025-09-25T00:00:00"/>
    <x v="52"/>
    <s v="TRF//FRM KAFILAT AYOMIDE LAWAL TO Kafilat_x000a_Ayomide Lawal- C03"/>
    <x v="1"/>
    <s v="2,000.00"/>
    <s v="-"/>
    <n v="3034.33"/>
    <n v="2000"/>
    <n v="0"/>
    <x v="0"/>
    <x v="1"/>
    <x v="4"/>
    <x v="0"/>
    <x v="4"/>
    <x v="0"/>
  </r>
  <r>
    <d v="2025-09-25T00:00:00"/>
    <x v="52"/>
    <s v="COMMISSION TRF//FRM KAFILAT AYOMIDE LAWAL_x000a_TO Kafilat Ayomide Lawal- C03"/>
    <x v="1"/>
    <s v="10.00"/>
    <s v="-"/>
    <n v="3024.33"/>
    <n v="10"/>
    <n v="0"/>
    <x v="0"/>
    <x v="1"/>
    <x v="4"/>
    <x v="0"/>
    <x v="4"/>
    <x v="0"/>
  </r>
  <r>
    <d v="2025-09-25T00:00:00"/>
    <x v="52"/>
    <s v="VAT TRF//FRM KAFILAT AYOMIDE LAWAL TO Kafilat_x000a_Ayomide Lawal- C03"/>
    <x v="1"/>
    <s v="0.75"/>
    <s v="-"/>
    <n v="3023.58"/>
    <n v="0.75"/>
    <n v="0"/>
    <x v="0"/>
    <x v="1"/>
    <x v="4"/>
    <x v="0"/>
    <x v="4"/>
    <x v="0"/>
  </r>
  <r>
    <d v="2025-09-25T00:00:00"/>
    <x v="52"/>
    <s v="TRF//FRM KAFILAT AYOMIDE LAWAL TO Kafilat_x000a_Ayomide Lawal- C03"/>
    <x v="1"/>
    <s v="1,000.00"/>
    <s v="-"/>
    <n v="2023.58"/>
    <n v="1000"/>
    <n v="0"/>
    <x v="0"/>
    <x v="1"/>
    <x v="4"/>
    <x v="0"/>
    <x v="4"/>
    <x v="0"/>
  </r>
  <r>
    <d v="2025-09-25T00:00:00"/>
    <x v="52"/>
    <s v="COMMISSION TRF//FRM KAFILAT AYOMIDE LAWAL_x000a_TO Kafilat Ayomide Lawal- C03"/>
    <x v="1"/>
    <s v="10.00"/>
    <s v="-"/>
    <n v="2013.58"/>
    <n v="10"/>
    <n v="0"/>
    <x v="0"/>
    <x v="1"/>
    <x v="4"/>
    <x v="0"/>
    <x v="4"/>
    <x v="0"/>
  </r>
  <r>
    <d v="2025-09-25T00:00:00"/>
    <x v="52"/>
    <s v="VAT TRF//FRM KAFILAT AYOMIDE LAWAL TO Kafilat_x000a_Ayomide Lawal- C03"/>
    <x v="1"/>
    <s v="0.75"/>
    <s v="-"/>
    <n v="2012.83"/>
    <n v="0.75"/>
    <n v="0"/>
    <x v="0"/>
    <x v="1"/>
    <x v="4"/>
    <x v="0"/>
    <x v="4"/>
    <x v="0"/>
  </r>
  <r>
    <d v="2025-09-26T00:00:00"/>
    <x v="53"/>
    <s v="TRF//FRM KAFILAT AYOMIDE LAWAL TO Kafilat_x000a_Ayomide Lawal- C03"/>
    <x v="1"/>
    <s v="2,000.00"/>
    <s v="-"/>
    <n v="12.83"/>
    <n v="2000"/>
    <n v="0"/>
    <x v="0"/>
    <x v="0"/>
    <x v="4"/>
    <x v="0"/>
    <x v="4"/>
    <x v="0"/>
  </r>
  <r>
    <d v="2025-09-26T00:00:00"/>
    <x v="53"/>
    <s v="COMMISSION TRF//FRM KAFILAT AYOMIDE LAWAL_x000a_TO Kafilat Ayomide Lawal- C03"/>
    <x v="1"/>
    <s v="10.00"/>
    <s v="-"/>
    <n v="2.83"/>
    <n v="10"/>
    <n v="0"/>
    <x v="0"/>
    <x v="0"/>
    <x v="4"/>
    <x v="0"/>
    <x v="4"/>
    <x v="0"/>
  </r>
  <r>
    <d v="2025-09-26T00:00:00"/>
    <x v="53"/>
    <s v="VAT TRF//FRM KAFILAT AYOMIDE LAWAL TO Kafilat_x000a_Ayomide Lawal- C03"/>
    <x v="1"/>
    <s v="0.75"/>
    <s v="-"/>
    <n v="2.08"/>
    <n v="0.75"/>
    <n v="0"/>
    <x v="0"/>
    <x v="0"/>
    <x v="4"/>
    <x v="0"/>
    <x v="4"/>
    <x v="0"/>
  </r>
  <r>
    <d v="2025-09-29T00:00:00"/>
    <x v="54"/>
    <s v="TRF/null/TO KAFILAT AYOMIDE LAWAL FROM SODIQ_x000a_OPEYEMI LAWAL"/>
    <x v="2"/>
    <s v="-"/>
    <s v="507,000.00"/>
    <n v="507002.09"/>
    <n v="0"/>
    <n v="507000"/>
    <x v="1"/>
    <x v="0"/>
    <x v="4"/>
    <x v="0"/>
    <x v="4"/>
    <x v="0"/>
  </r>
  <r>
    <d v="2025-09-29T00:00:00"/>
    <x v="54"/>
    <s v="TRF/null/TO OLOWO PAPA VENTURES LTD FROM_x000a_KAFILAT AYOMIDE LAWAL"/>
    <x v="1"/>
    <s v="450,000.00"/>
    <s v="-"/>
    <n v="57002.080000000002"/>
    <n v="450000"/>
    <n v="0"/>
    <x v="0"/>
    <x v="0"/>
    <x v="4"/>
    <x v="0"/>
    <x v="4"/>
    <x v="0"/>
  </r>
  <r>
    <d v="2025-09-29T00:00:00"/>
    <x v="54"/>
    <s v="TRF//FRM KAFILAT AYOMIDE LAWAL TO SUNDAY_x000a_AYODELE ADEKOYA- C03"/>
    <x v="1"/>
    <s v="50,000.00"/>
    <s v="-"/>
    <n v="7002.08"/>
    <n v="50000"/>
    <n v="0"/>
    <x v="0"/>
    <x v="0"/>
    <x v="4"/>
    <x v="0"/>
    <x v="4"/>
    <x v="0"/>
  </r>
  <r>
    <d v="2025-09-29T00:00:00"/>
    <x v="54"/>
    <s v="COMMISSION TRF//FRM KAFILAT AYOMIDE LAWAL_x000a_TO SUNDAY AYODELE ADEKOYA- C03"/>
    <x v="1"/>
    <s v="25.00"/>
    <s v="-"/>
    <n v="6977.08"/>
    <n v="25"/>
    <n v="0"/>
    <x v="0"/>
    <x v="0"/>
    <x v="4"/>
    <x v="0"/>
    <x v="4"/>
    <x v="0"/>
  </r>
  <r>
    <d v="2025-09-29T00:00:00"/>
    <x v="54"/>
    <s v="VAT TRF//FRM KAFILAT AYOMIDE LAWAL TO_x000a_SUNDAY AYODELE ADEKOYA- C03"/>
    <x v="1"/>
    <s v="1.88"/>
    <s v="-"/>
    <n v="6975.2"/>
    <n v="1.88"/>
    <n v="0"/>
    <x v="0"/>
    <x v="0"/>
    <x v="4"/>
    <x v="0"/>
    <x v="4"/>
    <x v="0"/>
  </r>
  <r>
    <d v="2025-09-30T00:00:00"/>
    <x v="55"/>
    <s v="SMS Alert Fee-29/08-28/09/2025 + VAT"/>
    <x v="4"/>
    <s v="161.25"/>
    <s v="-"/>
    <n v="6813.95"/>
    <n v="161.25"/>
    <n v="0"/>
    <x v="0"/>
    <x v="0"/>
    <x v="4"/>
    <x v="0"/>
    <x v="4"/>
    <x v="0"/>
  </r>
  <r>
    <d v="2025-10-01T00:00:00"/>
    <x v="56"/>
    <s v="AT129TRF|2MPTaz0pe|1973334509507047424AT129T_x000a_RF|2MPTaz0pe|1973334509507047424Transfer from_x000a_aloAT"/>
    <x v="2"/>
    <s v="-"/>
    <s v="40,000.00"/>
    <n v="46813.95"/>
    <n v="0"/>
    <n v="40000"/>
    <x v="1"/>
    <x v="0"/>
    <x v="5"/>
    <x v="0"/>
    <x v="5"/>
    <x v="0"/>
  </r>
  <r>
    <d v="2025-10-01T00:00:00"/>
    <x v="56"/>
    <s v="TRF//FRM KAFILAT AYOMIDE LAWAL TO ALAO_x000a_ADEDOKUN- C60"/>
    <x v="1"/>
    <s v="17,000.00"/>
    <s v="-"/>
    <n v="29813.95"/>
    <n v="17000"/>
    <n v="0"/>
    <x v="0"/>
    <x v="0"/>
    <x v="5"/>
    <x v="0"/>
    <x v="5"/>
    <x v="0"/>
  </r>
  <r>
    <d v="2025-10-01T00:00:00"/>
    <x v="56"/>
    <s v="COMMISSION TRF//FRM KAFILAT AYOMIDE LAWAL_x000a_TO ALAO ADEDOKUN- C60"/>
    <x v="1"/>
    <s v="25.00"/>
    <s v="-"/>
    <n v="29788.95"/>
    <n v="25"/>
    <n v="0"/>
    <x v="0"/>
    <x v="0"/>
    <x v="5"/>
    <x v="0"/>
    <x v="5"/>
    <x v="0"/>
  </r>
  <r>
    <d v="2025-10-01T00:00:00"/>
    <x v="56"/>
    <s v="VAT TRF//FRM KAFILAT AYOMIDE LAWAL TO ALAO_x000a_ADEDOKUN- C60"/>
    <x v="1"/>
    <s v="1.88"/>
    <s v="-"/>
    <n v="29787.07"/>
    <n v="1.88"/>
    <n v="0"/>
    <x v="0"/>
    <x v="0"/>
    <x v="5"/>
    <x v="0"/>
    <x v="5"/>
    <x v="0"/>
  </r>
  <r>
    <d v="2025-10-02T00:00:00"/>
    <x v="57"/>
    <s v="TRF/null/TO KAFILAT AYOMIDE LAWAL FROM SODIQ_x000a_OPEYEMI LAWAL"/>
    <x v="2"/>
    <s v="-"/>
    <s v="250,000.00"/>
    <n v="279787.06"/>
    <n v="0"/>
    <n v="250000"/>
    <x v="1"/>
    <x v="0"/>
    <x v="5"/>
    <x v="0"/>
    <x v="5"/>
    <x v="0"/>
  </r>
  <r>
    <d v="2025-10-02T00:00:00"/>
    <x v="57"/>
    <s v="TRF//FRM KAFILAT AYOMIDE LAWAL TO SUNDAY_x000a_AYODELE ADEKOYA- C03"/>
    <x v="1"/>
    <s v="50,000.00"/>
    <s v="-"/>
    <n v="229787.06"/>
    <n v="50000"/>
    <n v="0"/>
    <x v="0"/>
    <x v="0"/>
    <x v="5"/>
    <x v="0"/>
    <x v="5"/>
    <x v="0"/>
  </r>
  <r>
    <d v="2025-10-02T00:00:00"/>
    <x v="57"/>
    <s v="COMMISSION TRF//FRM KAFILAT AYOMIDE LAWAL_x000a_TO SUNDAY AYODELE ADEKOYA- C03"/>
    <x v="1"/>
    <s v="25.00"/>
    <s v="-"/>
    <n v="229762.06"/>
    <n v="25"/>
    <n v="0"/>
    <x v="0"/>
    <x v="0"/>
    <x v="5"/>
    <x v="0"/>
    <x v="5"/>
    <x v="0"/>
  </r>
  <r>
    <d v="2025-10-02T00:00:00"/>
    <x v="57"/>
    <s v="VAT TRF//FRM KAFILAT AYOMIDE LAWAL TO_x000a_SUNDAY AYODELE ADEKOYA- C03"/>
    <x v="1"/>
    <s v="1.88"/>
    <s v="-"/>
    <n v="229760.19"/>
    <n v="1.88"/>
    <n v="0"/>
    <x v="0"/>
    <x v="0"/>
    <x v="5"/>
    <x v="0"/>
    <x v="5"/>
    <x v="0"/>
  </r>
  <r>
    <d v="2025-10-02T00:00:00"/>
    <x v="57"/>
    <s v="TRF//FRM KAFILAT AYOMIDE LAWAL TO LAWAL_x000a_MONSURAT BOLANLE- 011"/>
    <x v="1"/>
    <s v="50,000.00"/>
    <s v="-"/>
    <n v="179760.19"/>
    <n v="50000"/>
    <n v="0"/>
    <x v="0"/>
    <x v="0"/>
    <x v="5"/>
    <x v="0"/>
    <x v="5"/>
    <x v="0"/>
  </r>
  <r>
    <d v="2025-10-02T00:00:00"/>
    <x v="57"/>
    <s v="COMMISSION TRF//FRM KAFILAT AYOMIDE LAWAL_x000a_TO LAWAL MONSURAT BOLANLE- 011"/>
    <x v="1"/>
    <s v="25.00"/>
    <s v="-"/>
    <n v="179735.19"/>
    <n v="25"/>
    <n v="0"/>
    <x v="0"/>
    <x v="0"/>
    <x v="5"/>
    <x v="0"/>
    <x v="5"/>
    <x v="0"/>
  </r>
  <r>
    <d v="2025-10-02T00:00:00"/>
    <x v="57"/>
    <s v="VAT TRF//FRM KAFILAT AYOMIDE LAWAL TO LAWAL_x000a_MONSURAT BOLANLE- 011"/>
    <x v="1"/>
    <s v="1.88"/>
    <s v="-"/>
    <n v="179733.31"/>
    <n v="1.88"/>
    <n v="0"/>
    <x v="0"/>
    <x v="0"/>
    <x v="5"/>
    <x v="0"/>
    <x v="5"/>
    <x v="0"/>
  </r>
  <r>
    <d v="2025-10-02T00:00:00"/>
    <x v="57"/>
    <s v="pos"/>
    <x v="6"/>
    <s v="-"/>
    <s v="40,000.00"/>
    <n v="219733.31"/>
    <n v="0"/>
    <n v="40000"/>
    <x v="1"/>
    <x v="0"/>
    <x v="5"/>
    <x v="0"/>
    <x v="5"/>
    <x v="0"/>
  </r>
  <r>
    <d v="2025-10-02T00:00:00"/>
    <x v="57"/>
    <s v="TRF//FRM KAFILAT AYOMIDE LAWAL TO BIOLA_x000a_JOHNSON AWOYALE- C03"/>
    <x v="1"/>
    <s v="70,000.00"/>
    <s v="-"/>
    <n v="149733.31"/>
    <n v="70000"/>
    <n v="0"/>
    <x v="0"/>
    <x v="0"/>
    <x v="5"/>
    <x v="0"/>
    <x v="5"/>
    <x v="0"/>
  </r>
  <r>
    <d v="2025-10-02T00:00:00"/>
    <x v="57"/>
    <s v="COMMISSION TRF//FRM KAFILAT AYOMIDE LAWAL_x000a_TO BIOLA JOHNSON AWOYALE- C03"/>
    <x v="1"/>
    <s v="50.00"/>
    <s v="-"/>
    <n v="149683.31"/>
    <n v="50"/>
    <n v="0"/>
    <x v="0"/>
    <x v="0"/>
    <x v="5"/>
    <x v="0"/>
    <x v="5"/>
    <x v="0"/>
  </r>
  <r>
    <d v="2025-10-02T00:00:00"/>
    <x v="57"/>
    <s v="VAT TRF//FRM KAFILAT AYOMIDE LAWAL TO BIOLA_x000a_JOHNSON AWOYALE- C03"/>
    <x v="1"/>
    <s v="3.75"/>
    <s v="-"/>
    <n v="149679.56"/>
    <n v="3.75"/>
    <n v="0"/>
    <x v="0"/>
    <x v="0"/>
    <x v="5"/>
    <x v="0"/>
    <x v="5"/>
    <x v="0"/>
  </r>
  <r>
    <d v="2025-10-02T00:00:00"/>
    <x v="57"/>
    <s v="TRF//FRM KAFILAT AYOMIDE LAWAL TO DIKACHI_x000a_PRECIOUS NWANKWO- C03"/>
    <x v="1"/>
    <s v="70,000.00"/>
    <s v="-"/>
    <n v="79679.56"/>
    <n v="70000"/>
    <n v="0"/>
    <x v="0"/>
    <x v="0"/>
    <x v="5"/>
    <x v="0"/>
    <x v="5"/>
    <x v="0"/>
  </r>
  <r>
    <d v="2025-10-02T00:00:00"/>
    <x v="57"/>
    <s v="COMMISSION TRF//FRM KAFILAT AYOMIDE LAWAL_x000a_TO DIKACHI PRECIOUS NWANKWO- C03"/>
    <x v="1"/>
    <s v="50.00"/>
    <s v="-"/>
    <n v="79629.56"/>
    <n v="50"/>
    <n v="0"/>
    <x v="0"/>
    <x v="0"/>
    <x v="5"/>
    <x v="0"/>
    <x v="5"/>
    <x v="0"/>
  </r>
  <r>
    <d v="2025-10-02T00:00:00"/>
    <x v="57"/>
    <s v="VAT TRF//FRM KAFILAT AYOMIDE LAWAL TO_x000a_DIKACHI PRECIOUS NWANKWO- C03"/>
    <x v="1"/>
    <s v="3.75"/>
    <s v="-"/>
    <n v="79625.81"/>
    <n v="3.75"/>
    <n v="0"/>
    <x v="0"/>
    <x v="0"/>
    <x v="5"/>
    <x v="0"/>
    <x v="5"/>
    <x v="0"/>
  </r>
  <r>
    <d v="2025-10-02T00:00:00"/>
    <x v="57"/>
    <s v="TRF//FRM KAFILAT AYOMIDE LAWAL TO Kafilat_x000a_Ayomide Lawal- C03"/>
    <x v="1"/>
    <s v="3,000.00"/>
    <s v="-"/>
    <n v="76625.81"/>
    <n v="3000"/>
    <n v="0"/>
    <x v="0"/>
    <x v="0"/>
    <x v="5"/>
    <x v="0"/>
    <x v="5"/>
    <x v="0"/>
  </r>
  <r>
    <d v="2025-10-02T00:00:00"/>
    <x v="57"/>
    <s v="COMMISSION TRF//FRM KAFILAT AYOMIDE LAWAL_x000a_TO Kafilat Ayomide Lawal- C03"/>
    <x v="1"/>
    <s v="10.00"/>
    <s v="-"/>
    <n v="76615.81"/>
    <n v="10"/>
    <n v="0"/>
    <x v="0"/>
    <x v="0"/>
    <x v="5"/>
    <x v="0"/>
    <x v="5"/>
    <x v="0"/>
  </r>
  <r>
    <d v="2025-10-02T00:00:00"/>
    <x v="57"/>
    <s v="VAT TRF//FRM KAFILAT AYOMIDE LAWAL TO Kafilat_x000a_Ayomide Lawal- C03"/>
    <x v="1"/>
    <s v="0.75"/>
    <s v="-"/>
    <n v="76615.06"/>
    <n v="0.75"/>
    <n v="0"/>
    <x v="0"/>
    <x v="0"/>
    <x v="5"/>
    <x v="0"/>
    <x v="5"/>
    <x v="0"/>
  </r>
  <r>
    <d v="2025-10-03T00:00:00"/>
    <x v="58"/>
    <s v="TRF//FRM KAFILAT AYOMIDE LAWAL TO Kafilat_x000a_Ayomide Lawal- C03"/>
    <x v="1"/>
    <s v="39,650.00"/>
    <s v="-"/>
    <n v="36965.06"/>
    <n v="39650"/>
    <n v="0"/>
    <x v="0"/>
    <x v="0"/>
    <x v="5"/>
    <x v="0"/>
    <x v="5"/>
    <x v="0"/>
  </r>
  <r>
    <d v="2025-10-03T00:00:00"/>
    <x v="58"/>
    <s v="COMMISSION TRF//FRM KAFILAT AYOMIDE LAWAL_x000a_TO Kafilat Ayomide Lawal- C03"/>
    <x v="1"/>
    <s v="25.00"/>
    <s v="-"/>
    <n v="36940.06"/>
    <n v="25"/>
    <n v="0"/>
    <x v="0"/>
    <x v="0"/>
    <x v="5"/>
    <x v="0"/>
    <x v="5"/>
    <x v="0"/>
  </r>
  <r>
    <d v="2025-10-03T00:00:00"/>
    <x v="58"/>
    <s v="VAT TRF//FRM KAFILAT AYOMIDE LAWAL TO Kafilat_x000a_Ayomide Lawal- C03"/>
    <x v="1"/>
    <s v="1.88"/>
    <s v="-"/>
    <n v="36938.18"/>
    <n v="1.88"/>
    <n v="0"/>
    <x v="0"/>
    <x v="0"/>
    <x v="5"/>
    <x v="0"/>
    <x v="5"/>
    <x v="0"/>
  </r>
  <r>
    <d v="2025-10-04T00:00:00"/>
    <x v="59"/>
    <s v="TRF//FRM KAFILAT AYOMIDE LAWAL TO Kafilat_x000a_Ayomide Lawal- C03"/>
    <x v="1"/>
    <s v="6,200.00"/>
    <s v="-"/>
    <n v="30738.18"/>
    <n v="6200"/>
    <n v="0"/>
    <x v="0"/>
    <x v="0"/>
    <x v="5"/>
    <x v="0"/>
    <x v="5"/>
    <x v="0"/>
  </r>
  <r>
    <d v="2025-10-04T00:00:00"/>
    <x v="59"/>
    <s v="COMMISSION TRF//FRM KAFILAT AYOMIDE LAWAL_x000a_TO Kafilat Ayomide Lawal- C03"/>
    <x v="1"/>
    <s v="25.00"/>
    <s v="-"/>
    <n v="30713.18"/>
    <n v="25"/>
    <n v="0"/>
    <x v="0"/>
    <x v="0"/>
    <x v="5"/>
    <x v="0"/>
    <x v="5"/>
    <x v="0"/>
  </r>
  <r>
    <d v="2025-10-04T00:00:00"/>
    <x v="59"/>
    <s v="VAT TRF//FRM KAFILAT AYOMIDE LAWAL TO Kafilat_x000a_Ayomide Lawal- C03"/>
    <x v="1"/>
    <s v="1.88"/>
    <s v="-"/>
    <n v="30711.3"/>
    <n v="1.88"/>
    <n v="0"/>
    <x v="0"/>
    <x v="0"/>
    <x v="5"/>
    <x v="0"/>
    <x v="5"/>
    <x v="0"/>
  </r>
  <r>
    <d v="2025-10-05T00:00:00"/>
    <x v="60"/>
    <s v="TRF//FRM KAFILAT AYOMIDE LAWAL TO ALAO_x000a_ADEDOKUN- C60"/>
    <x v="1"/>
    <s v="9,500.00"/>
    <s v="-"/>
    <n v="21211.3"/>
    <n v="9500"/>
    <n v="0"/>
    <x v="0"/>
    <x v="0"/>
    <x v="5"/>
    <x v="0"/>
    <x v="5"/>
    <x v="0"/>
  </r>
  <r>
    <d v="2025-10-05T00:00:00"/>
    <x v="60"/>
    <s v="COMMISSION TRF//FRM KAFILAT AYOMIDE LAWAL_x000a_TO ALAO ADEDOKUN- C60"/>
    <x v="1"/>
    <s v="25.00"/>
    <s v="-"/>
    <n v="21186.3"/>
    <n v="25"/>
    <n v="0"/>
    <x v="0"/>
    <x v="0"/>
    <x v="5"/>
    <x v="0"/>
    <x v="5"/>
    <x v="0"/>
  </r>
  <r>
    <d v="2025-10-05T00:00:00"/>
    <x v="60"/>
    <s v="VAT TRF//FRM KAFILAT AYOMIDE LAWAL TO ALAO_x000a_ADEDOKUN- C60"/>
    <x v="1"/>
    <s v="1.88"/>
    <s v="-"/>
    <n v="21184.42"/>
    <n v="1.88"/>
    <n v="0"/>
    <x v="0"/>
    <x v="0"/>
    <x v="5"/>
    <x v="0"/>
    <x v="5"/>
    <x v="0"/>
  </r>
  <r>
    <d v="2025-10-05T00:00:00"/>
    <x v="60"/>
    <s v="AT129TRF|2MPT4vu1z|1974850753831796736AT129T_x000a_RF|2MPT4vu1z|1974850753831796736TAIWO MUSA_x000a_A Trf for"/>
    <x v="2"/>
    <s v="-"/>
    <s v="50,000.00"/>
    <n v="71184.42"/>
    <n v="0"/>
    <n v="50000"/>
    <x v="1"/>
    <x v="0"/>
    <x v="5"/>
    <x v="0"/>
    <x v="5"/>
    <x v="0"/>
  </r>
  <r>
    <d v="2025-10-06T00:00:00"/>
    <x v="61"/>
    <s v="TRF//FRM KAFILAT AYOMIDE LAWAL TO SUNDAY_x000a_AYODELE ADEKOYA- C03"/>
    <x v="1"/>
    <s v="42,000.00"/>
    <s v="-"/>
    <n v="29184.42"/>
    <n v="42000"/>
    <n v="0"/>
    <x v="0"/>
    <x v="0"/>
    <x v="5"/>
    <x v="0"/>
    <x v="5"/>
    <x v="0"/>
  </r>
  <r>
    <d v="2025-10-06T00:00:00"/>
    <x v="61"/>
    <s v="COMMISSION TRF//FRM KAFILAT AYOMIDE LAWAL_x000a_TO SUNDAY AYODELE ADEKOYA- C03"/>
    <x v="1"/>
    <s v="25.00"/>
    <s v="-"/>
    <n v="29159.42"/>
    <n v="25"/>
    <n v="0"/>
    <x v="0"/>
    <x v="0"/>
    <x v="5"/>
    <x v="0"/>
    <x v="5"/>
    <x v="0"/>
  </r>
  <r>
    <d v="2025-10-06T00:00:00"/>
    <x v="61"/>
    <s v="VAT TRF//FRM KAFILAT AYOMIDE LAWAL TO_x000a_SUNDAY AYODELE ADEKOYA- C03"/>
    <x v="1"/>
    <s v="1.88"/>
    <s v="-"/>
    <n v="29157.54"/>
    <n v="1.88"/>
    <n v="0"/>
    <x v="0"/>
    <x v="0"/>
    <x v="5"/>
    <x v="0"/>
    <x v="5"/>
    <x v="0"/>
  </r>
  <r>
    <d v="2025-10-06T00:00:00"/>
    <x v="61"/>
    <s v="TRF/null/TO KAFILAT AYOMIDE LAWAL FROM SODIQ_x000a_OPEYEMI LAWAL"/>
    <x v="2"/>
    <s v="-"/>
    <s v="15,000.00"/>
    <n v="44157.54"/>
    <n v="0"/>
    <n v="15000"/>
    <x v="1"/>
    <x v="0"/>
    <x v="5"/>
    <x v="0"/>
    <x v="5"/>
    <x v="0"/>
  </r>
  <r>
    <d v="2025-10-06T00:00:00"/>
    <x v="61"/>
    <s v="TRF//FRM KAFILAT AYOMIDE LAWAL TO ADEMOLA_x000a_ALABI- 076"/>
    <x v="1"/>
    <s v="30,000.00"/>
    <s v="-"/>
    <n v="14157.54"/>
    <n v="30000"/>
    <n v="0"/>
    <x v="0"/>
    <x v="0"/>
    <x v="5"/>
    <x v="0"/>
    <x v="5"/>
    <x v="0"/>
  </r>
  <r>
    <d v="2025-10-06T00:00:00"/>
    <x v="61"/>
    <s v="COMMISSION TRF//FRM KAFILAT AYOMIDE LAWAL_x000a_TO ADEMOLA ALABI- 076"/>
    <x v="1"/>
    <s v="25.00"/>
    <s v="-"/>
    <n v="14132.54"/>
    <n v="25"/>
    <n v="0"/>
    <x v="0"/>
    <x v="0"/>
    <x v="5"/>
    <x v="0"/>
    <x v="5"/>
    <x v="0"/>
  </r>
  <r>
    <d v="2025-10-06T00:00:00"/>
    <x v="61"/>
    <s v="VAT TRF//FRM KAFILAT AYOMIDE LAWAL TO_x000a_ADEMOLA ALABI- 076"/>
    <x v="1"/>
    <s v="1.88"/>
    <s v="-"/>
    <n v="14130.66"/>
    <n v="1.88"/>
    <n v="0"/>
    <x v="0"/>
    <x v="0"/>
    <x v="5"/>
    <x v="0"/>
    <x v="5"/>
    <x v="0"/>
  </r>
  <r>
    <d v="2025-10-07T00:00:00"/>
    <x v="62"/>
    <s v="Transfer from ABIBAT TOYIN LATEEF"/>
    <x v="2"/>
    <s v="-"/>
    <s v="200,000.00"/>
    <n v="214130.66"/>
    <n v="0"/>
    <n v="200000"/>
    <x v="1"/>
    <x v="0"/>
    <x v="5"/>
    <x v="0"/>
    <x v="5"/>
    <x v="0"/>
  </r>
  <r>
    <d v="2025-10-07T00:00:00"/>
    <x v="62"/>
    <s v="TRF/null/TO KAFILAT AYOMIDE LAWAL FROM SODIQ_x000a_OPEYEMI LAWAL"/>
    <x v="2"/>
    <s v="-"/>
    <s v="400,000.00"/>
    <n v="614130.68999999994"/>
    <n v="0"/>
    <n v="400000"/>
    <x v="1"/>
    <x v="0"/>
    <x v="5"/>
    <x v="0"/>
    <x v="5"/>
    <x v="0"/>
  </r>
  <r>
    <d v="2025-10-08T00:00:00"/>
    <x v="63"/>
    <s v="TRF/null/TO SODIQ OPEYEMI LAWAL FROM KAFILAT_x000a_AYOMIDE LAWAL"/>
    <x v="1"/>
    <s v="320,000.00"/>
    <s v="-"/>
    <n v="294130.65999999997"/>
    <n v="320000"/>
    <n v="0"/>
    <x v="0"/>
    <x v="0"/>
    <x v="5"/>
    <x v="0"/>
    <x v="5"/>
    <x v="0"/>
  </r>
  <r>
    <d v="2025-10-08T00:00:00"/>
    <x v="63"/>
    <s v="AT129TRF|2MPT1r798|1975955990711910400AT129T_x000a_RF|2MPT1r798|1975955990711910400Transfer from_x000a_aloAT"/>
    <x v="2"/>
    <s v="-"/>
    <s v="100,000.00"/>
    <n v="394130.66"/>
    <n v="0"/>
    <n v="100000"/>
    <x v="1"/>
    <x v="0"/>
    <x v="5"/>
    <x v="0"/>
    <x v="5"/>
    <x v="0"/>
  </r>
  <r>
    <d v="2025-10-09T00:00:00"/>
    <x v="64"/>
    <s v="MOBILE TRF TO WBP/ SHUAIB ALAMU AKINYEMI"/>
    <x v="1"/>
    <s v="170,000.00"/>
    <s v="-"/>
    <n v="224130.66"/>
    <n v="170000"/>
    <n v="0"/>
    <x v="0"/>
    <x v="0"/>
    <x v="5"/>
    <x v="0"/>
    <x v="5"/>
    <x v="0"/>
  </r>
  <r>
    <d v="2025-10-09T00:00:00"/>
    <x v="64"/>
    <s v="COMMISSION MOBILE TRF TO WBP/ SHUAIB_x000a_ALAMU AKINYEMI"/>
    <x v="1"/>
    <s v="50.00"/>
    <s v="-"/>
    <n v="224080.66"/>
    <n v="50"/>
    <n v="0"/>
    <x v="0"/>
    <x v="0"/>
    <x v="5"/>
    <x v="0"/>
    <x v="5"/>
    <x v="0"/>
  </r>
  <r>
    <d v="2025-10-09T00:00:00"/>
    <x v="64"/>
    <s v="VAT MOBILE TRF TO WBP/ SHUAIB ALAMU_x000a_AKINYEMI"/>
    <x v="1"/>
    <s v="3.75"/>
    <s v="-"/>
    <n v="224076.91"/>
    <n v="3.75"/>
    <n v="0"/>
    <x v="0"/>
    <x v="0"/>
    <x v="5"/>
    <x v="0"/>
    <x v="5"/>
    <x v="0"/>
  </r>
  <r>
    <d v="2025-10-09T00:00:00"/>
    <x v="64"/>
    <s v="IBRAHIM BOLAJI RAMONI/mummy tommy"/>
    <x v="2"/>
    <s v="-"/>
    <s v="186,000.00"/>
    <n v="410076.91"/>
    <n v="0"/>
    <n v="186000"/>
    <x v="1"/>
    <x v="0"/>
    <x v="5"/>
    <x v="0"/>
    <x v="5"/>
    <x v="0"/>
  </r>
  <r>
    <d v="2025-10-11T00:00:00"/>
    <x v="65"/>
    <s v="MOBILE TRF TO PAY/ Kafilat Ayomide Lawal"/>
    <x v="1"/>
    <s v="2,000.00"/>
    <s v="-"/>
    <n v="408076.91"/>
    <n v="2000"/>
    <n v="0"/>
    <x v="0"/>
    <x v="0"/>
    <x v="5"/>
    <x v="0"/>
    <x v="5"/>
    <x v="0"/>
  </r>
  <r>
    <d v="2025-10-11T00:00:00"/>
    <x v="65"/>
    <s v="COMMISSION MOBILE TRF TO PAY/ Kafilat Ayomide_x000a_Lawal"/>
    <x v="1"/>
    <s v="10.00"/>
    <s v="-"/>
    <n v="408066.91"/>
    <n v="10"/>
    <n v="0"/>
    <x v="0"/>
    <x v="0"/>
    <x v="5"/>
    <x v="0"/>
    <x v="5"/>
    <x v="0"/>
  </r>
  <r>
    <d v="2025-10-11T00:00:00"/>
    <x v="65"/>
    <s v="VAT MOBILE TRF TO PAY/ Kafilat Ayomide Lawal"/>
    <x v="1"/>
    <s v="0.75"/>
    <s v="-"/>
    <n v="408066.16"/>
    <n v="0.75"/>
    <n v="0"/>
    <x v="0"/>
    <x v="0"/>
    <x v="5"/>
    <x v="0"/>
    <x v="5"/>
    <x v="0"/>
  </r>
  <r>
    <d v="2025-10-12T00:00:00"/>
    <x v="65"/>
    <s v="FGN ELECTRONIC MONEY TRANSFER LEVY"/>
    <x v="1"/>
    <s v="500.00"/>
    <s v="-"/>
    <n v="407566.16"/>
    <n v="500"/>
    <n v="0"/>
    <x v="0"/>
    <x v="1"/>
    <x v="5"/>
    <x v="0"/>
    <x v="5"/>
    <x v="0"/>
  </r>
  <r>
    <d v="2025-10-13T00:00:00"/>
    <x v="66"/>
    <s v="MOBILE TRF TO PAY/ Kafilat Ayomide Lawal"/>
    <x v="1"/>
    <s v="11,500.00"/>
    <s v="-"/>
    <n v="396066.16"/>
    <n v="11500"/>
    <n v="0"/>
    <x v="0"/>
    <x v="0"/>
    <x v="5"/>
    <x v="0"/>
    <x v="5"/>
    <x v="0"/>
  </r>
  <r>
    <d v="2025-10-13T00:00:00"/>
    <x v="66"/>
    <s v="COMMISSION MOBILE TRF TO PAY/ Kafilat Ayomide_x000a_Lawal"/>
    <x v="1"/>
    <s v="25.00"/>
    <s v="-"/>
    <n v="396041.16"/>
    <n v="25"/>
    <n v="0"/>
    <x v="0"/>
    <x v="0"/>
    <x v="5"/>
    <x v="0"/>
    <x v="5"/>
    <x v="0"/>
  </r>
  <r>
    <d v="2025-10-13T00:00:00"/>
    <x v="66"/>
    <s v="VAT MOBILE TRF TO PAY/ Kafilat Ayomide Lawal"/>
    <x v="1"/>
    <s v="1.88"/>
    <s v="-"/>
    <n v="396039.28"/>
    <n v="1.88"/>
    <n v="0"/>
    <x v="0"/>
    <x v="0"/>
    <x v="5"/>
    <x v="0"/>
    <x v="5"/>
    <x v="0"/>
  </r>
  <r>
    <d v="2025-10-13T00:00:00"/>
    <x v="66"/>
    <s v="MOBILE TRF TO PAY/ Kafilat Ayomide Lawal"/>
    <x v="1"/>
    <s v="10,000.00"/>
    <s v="-"/>
    <n v="386039.28"/>
    <n v="10000"/>
    <n v="0"/>
    <x v="0"/>
    <x v="0"/>
    <x v="5"/>
    <x v="0"/>
    <x v="5"/>
    <x v="0"/>
  </r>
  <r>
    <d v="2025-10-13T00:00:00"/>
    <x v="66"/>
    <s v="COMMISSION MOBILE TRF TO PAY/ Kafilat Ayomide_x000a_Lawal"/>
    <x v="1"/>
    <s v="25.00"/>
    <s v="-"/>
    <n v="386014.28"/>
    <n v="25"/>
    <n v="0"/>
    <x v="0"/>
    <x v="0"/>
    <x v="5"/>
    <x v="0"/>
    <x v="5"/>
    <x v="0"/>
  </r>
  <r>
    <d v="2025-10-13T00:00:00"/>
    <x v="66"/>
    <s v="VAT MOBILE TRF TO PAY/ Kafilat Ayomide Lawal"/>
    <x v="1"/>
    <s v="1.88"/>
    <s v="-"/>
    <n v="386012.41"/>
    <n v="1.88"/>
    <n v="0"/>
    <x v="0"/>
    <x v="0"/>
    <x v="5"/>
    <x v="0"/>
    <x v="5"/>
    <x v="0"/>
  </r>
  <r>
    <d v="2025-10-14T00:00:00"/>
    <x v="67"/>
    <s v="MOBILE TRF TO ACCESS/ MOSUDI LANRE_x000a_NURUDEEN"/>
    <x v="1"/>
    <s v="150,000.00"/>
    <s v="-"/>
    <n v="236012.41"/>
    <n v="150000"/>
    <n v="0"/>
    <x v="0"/>
    <x v="0"/>
    <x v="5"/>
    <x v="0"/>
    <x v="5"/>
    <x v="0"/>
  </r>
  <r>
    <d v="2025-10-15T00:00:00"/>
    <x v="68"/>
    <s v="MOBILE TRF TO ACCESS/ SAMUEL FRIDAY_x000a_JOHNSON"/>
    <x v="1"/>
    <s v="89,800.00"/>
    <s v="-"/>
    <n v="146212.41"/>
    <n v="89800"/>
    <n v="0"/>
    <x v="0"/>
    <x v="0"/>
    <x v="5"/>
    <x v="0"/>
    <x v="5"/>
    <x v="0"/>
  </r>
  <r>
    <d v="2025-10-15T00:00:00"/>
    <x v="68"/>
    <s v="MOBILE TRF TO PAY/ Kafilat Ayomide Lawal"/>
    <x v="1"/>
    <s v="5,000.00"/>
    <s v="-"/>
    <n v="141212.41"/>
    <n v="5000"/>
    <n v="0"/>
    <x v="0"/>
    <x v="0"/>
    <x v="5"/>
    <x v="0"/>
    <x v="5"/>
    <x v="0"/>
  </r>
  <r>
    <d v="2025-10-15T00:00:00"/>
    <x v="68"/>
    <s v="COMMISSION MOBILE TRF TO PAY/ Kafilat Ayomide_x000a_Lawal"/>
    <x v="1"/>
    <s v="10.00"/>
    <s v="-"/>
    <n v="141202.41"/>
    <n v="10"/>
    <n v="0"/>
    <x v="0"/>
    <x v="0"/>
    <x v="5"/>
    <x v="0"/>
    <x v="5"/>
    <x v="0"/>
  </r>
  <r>
    <d v="2025-10-15T00:00:00"/>
    <x v="68"/>
    <s v="VAT MOBILE TRF TO PAY/ Kafilat Ayomide Lawal"/>
    <x v="1"/>
    <s v="0.75"/>
    <s v="-"/>
    <n v="141201.66"/>
    <n v="0.75"/>
    <n v="0"/>
    <x v="0"/>
    <x v="0"/>
    <x v="5"/>
    <x v="0"/>
    <x v="5"/>
    <x v="0"/>
  </r>
  <r>
    <d v="2025-10-17T00:00:00"/>
    <x v="69"/>
    <s v="MOBILE TRF TO PAY/ Kafilat Ayomide Lawal"/>
    <x v="1"/>
    <s v="5,000.00"/>
    <s v="-"/>
    <n v="136201.66"/>
    <n v="5000"/>
    <n v="0"/>
    <x v="0"/>
    <x v="0"/>
    <x v="5"/>
    <x v="0"/>
    <x v="5"/>
    <x v="0"/>
  </r>
  <r>
    <d v="2025-10-17T00:00:00"/>
    <x v="69"/>
    <s v="COMMISSION MOBILE TRF TO PAY/ Kafilat Ayomide_x000a_Lawal"/>
    <x v="1"/>
    <s v="10.00"/>
    <s v="-"/>
    <n v="136191.66"/>
    <n v="10"/>
    <n v="0"/>
    <x v="0"/>
    <x v="0"/>
    <x v="5"/>
    <x v="0"/>
    <x v="5"/>
    <x v="0"/>
  </r>
  <r>
    <d v="2025-10-17T00:00:00"/>
    <x v="69"/>
    <s v="VAT MOBILE TRF TO PAY/ Kafilat Ayomide Lawal"/>
    <x v="1"/>
    <s v="0.75"/>
    <s v="-"/>
    <n v="136190.91"/>
    <n v="0.75"/>
    <n v="0"/>
    <x v="0"/>
    <x v="0"/>
    <x v="5"/>
    <x v="0"/>
    <x v="5"/>
    <x v="0"/>
  </r>
  <r>
    <d v="2025-10-17T00:00:00"/>
    <x v="69"/>
    <s v="MOBILE TRF TO PAY/ Kafilat Ayomide Lawal"/>
    <x v="1"/>
    <s v="25,000.00"/>
    <s v="-"/>
    <n v="111190.9"/>
    <n v="25000"/>
    <n v="0"/>
    <x v="0"/>
    <x v="0"/>
    <x v="5"/>
    <x v="0"/>
    <x v="5"/>
    <x v="0"/>
  </r>
  <r>
    <d v="2025-10-17T00:00:00"/>
    <x v="69"/>
    <s v="COMMISSION MOBILE TRF TO PAY/ Kafilat Ayomide_x000a_Lawal"/>
    <x v="1"/>
    <s v="25.00"/>
    <s v="-"/>
    <n v="111165.9"/>
    <n v="25"/>
    <n v="0"/>
    <x v="0"/>
    <x v="0"/>
    <x v="5"/>
    <x v="0"/>
    <x v="5"/>
    <x v="0"/>
  </r>
  <r>
    <d v="2025-10-17T00:00:00"/>
    <x v="69"/>
    <s v="VAT MOBILE TRF TO PAY/ Kafilat Ayomide Lawal"/>
    <x v="1"/>
    <s v="1.88"/>
    <s v="-"/>
    <n v="111164.02"/>
    <n v="1.88"/>
    <n v="0"/>
    <x v="0"/>
    <x v="0"/>
    <x v="5"/>
    <x v="0"/>
    <x v="5"/>
    <x v="0"/>
  </r>
  <r>
    <d v="2025-10-19T00:00:00"/>
    <x v="70"/>
    <s v="MOBILE TRF TO PAY/ Kafilat Ayomide Lawal"/>
    <x v="1"/>
    <s v="2,000.00"/>
    <s v="-"/>
    <n v="109164.02"/>
    <n v="2000"/>
    <n v="0"/>
    <x v="0"/>
    <x v="0"/>
    <x v="5"/>
    <x v="0"/>
    <x v="5"/>
    <x v="0"/>
  </r>
  <r>
    <d v="2025-10-19T00:00:00"/>
    <x v="70"/>
    <s v="COMMISSION MOBILE TRF TO PAY/ Kafilat Ayomide_x000a_Lawal"/>
    <x v="1"/>
    <s v="10.00"/>
    <s v="-"/>
    <n v="109154.02"/>
    <n v="10"/>
    <n v="0"/>
    <x v="0"/>
    <x v="0"/>
    <x v="5"/>
    <x v="0"/>
    <x v="5"/>
    <x v="0"/>
  </r>
  <r>
    <d v="2025-10-19T00:00:00"/>
    <x v="70"/>
    <s v="VAT MOBILE TRF TO PAY/ Kafilat Ayomide Lawal"/>
    <x v="1"/>
    <s v="0.75"/>
    <s v="-"/>
    <n v="109153.27"/>
    <n v="0.75"/>
    <n v="0"/>
    <x v="0"/>
    <x v="0"/>
    <x v="5"/>
    <x v="0"/>
    <x v="5"/>
    <x v="0"/>
  </r>
  <r>
    <d v="2025-10-20T00:00:00"/>
    <x v="71"/>
    <s v="AT129TRF|2MPT5v2ai|1980291461782953984AT129T_x000a_RF|2MPT5v2ai|1980291461782953984ROBEEB_x000a_MULTI Trf for"/>
    <x v="2"/>
    <s v="-"/>
    <s v="100,000.00"/>
    <n v="209153.27"/>
    <n v="0"/>
    <n v="100000"/>
    <x v="1"/>
    <x v="0"/>
    <x v="5"/>
    <x v="0"/>
    <x v="5"/>
    <x v="0"/>
  </r>
  <r>
    <d v="2025-10-20T00:00:00"/>
    <x v="71"/>
    <s v="MOBILE TRF TO WBP/ SHUAIB ALAMU AKINYEMI"/>
    <x v="1"/>
    <s v="200,000.00"/>
    <s v="-"/>
    <n v="9153.27"/>
    <n v="200000"/>
    <n v="0"/>
    <x v="0"/>
    <x v="0"/>
    <x v="5"/>
    <x v="0"/>
    <x v="5"/>
    <x v="0"/>
  </r>
  <r>
    <d v="2025-10-20T00:00:00"/>
    <x v="71"/>
    <s v="COMMISSION MOBILE TRF TO WBP/ SHUAIB_x000a_ALAMU AKINYEMI"/>
    <x v="1"/>
    <s v="50.00"/>
    <s v="-"/>
    <n v="9103.27"/>
    <n v="50"/>
    <n v="0"/>
    <x v="0"/>
    <x v="0"/>
    <x v="5"/>
    <x v="0"/>
    <x v="5"/>
    <x v="0"/>
  </r>
  <r>
    <d v="2025-10-20T00:00:00"/>
    <x v="71"/>
    <s v="VAT MOBILE TRF TO WBP/ SHUAIB ALAMU_x000a_AKINYEMI"/>
    <x v="1"/>
    <s v="3.75"/>
    <s v="-"/>
    <n v="9099.52"/>
    <n v="3.75"/>
    <n v="0"/>
    <x v="0"/>
    <x v="0"/>
    <x v="5"/>
    <x v="0"/>
    <x v="5"/>
    <x v="0"/>
  </r>
  <r>
    <d v="2025-10-21T00:00:00"/>
    <x v="72"/>
    <s v="MOBILE TRF TO PAY/ Kafilat Ayomide Lawal"/>
    <x v="1"/>
    <s v="5,000.00"/>
    <s v="-"/>
    <n v="4099.5200000000004"/>
    <n v="5000"/>
    <n v="0"/>
    <x v="0"/>
    <x v="0"/>
    <x v="5"/>
    <x v="0"/>
    <x v="5"/>
    <x v="0"/>
  </r>
  <r>
    <d v="2025-10-21T00:00:00"/>
    <x v="72"/>
    <s v="COMMISSION MOBILE TRF TO PAY/ Kafilat Ayomide_x000a_Lawal"/>
    <x v="1"/>
    <s v="10.00"/>
    <s v="-"/>
    <n v="4089.52"/>
    <n v="10"/>
    <n v="0"/>
    <x v="0"/>
    <x v="0"/>
    <x v="5"/>
    <x v="0"/>
    <x v="5"/>
    <x v="0"/>
  </r>
  <r>
    <d v="2025-10-21T00:00:00"/>
    <x v="72"/>
    <s v="VAT MOBILE TRF TO PAY/ Kafilat Ayomide Lawal"/>
    <x v="1"/>
    <s v="0.75"/>
    <s v="-"/>
    <n v="4088.77"/>
    <n v="0.75"/>
    <n v="0"/>
    <x v="0"/>
    <x v="0"/>
    <x v="5"/>
    <x v="0"/>
    <x v="5"/>
    <x v="0"/>
  </r>
  <r>
    <d v="2024-08-01T00:00:00"/>
    <x v="73"/>
    <s v="MTN/DebitSessionCharge/MenuTelcoFeefor234903561_x000a_6092"/>
    <x v="0"/>
    <s v="6.98"/>
    <s v="-"/>
    <n v="5606.31"/>
    <n v="6.98"/>
    <n v="0"/>
    <x v="0"/>
    <x v="0"/>
    <x v="3"/>
    <x v="1"/>
    <x v="3"/>
    <x v="1"/>
  </r>
  <r>
    <d v="2024-08-19T00:00:00"/>
    <x v="74"/>
    <s v="MTN/DebitSessionCharge/MenuTelcoFeefor234903561_x000a_6092"/>
    <x v="0"/>
    <s v="6.98"/>
    <s v="-"/>
    <n v="5599.33"/>
    <n v="6.98"/>
    <n v="0"/>
    <x v="0"/>
    <x v="0"/>
    <x v="3"/>
    <x v="1"/>
    <x v="3"/>
    <x v="1"/>
  </r>
  <r>
    <d v="2024-08-19T00:00:00"/>
    <x v="74"/>
    <s v="MTN/DebitSessionCharge/MenuTelcoFeefor234903561_x000a_6092"/>
    <x v="0"/>
    <s v="6.98"/>
    <s v="-"/>
    <n v="5592.35"/>
    <n v="6.98"/>
    <n v="0"/>
    <x v="0"/>
    <x v="0"/>
    <x v="3"/>
    <x v="1"/>
    <x v="3"/>
    <x v="1"/>
  </r>
  <r>
    <d v="2024-08-20T00:00:00"/>
    <x v="75"/>
    <s v="MTN/DebitSessionCharge/MenuTelcoFeefor234903561_x000a_6092"/>
    <x v="0"/>
    <s v="6.98"/>
    <s v="-"/>
    <n v="5585.37"/>
    <n v="6.98"/>
    <n v="0"/>
    <x v="0"/>
    <x v="0"/>
    <x v="3"/>
    <x v="1"/>
    <x v="3"/>
    <x v="1"/>
  </r>
  <r>
    <d v="2024-08-21T00:00:00"/>
    <x v="76"/>
    <s v="MTN/DebitSessionCharge/MenuTelcoFeefor234903561_x000a_6092"/>
    <x v="0"/>
    <s v="6.98"/>
    <s v="-"/>
    <n v="5578.39"/>
    <n v="6.98"/>
    <n v="0"/>
    <x v="0"/>
    <x v="0"/>
    <x v="3"/>
    <x v="1"/>
    <x v="3"/>
    <x v="1"/>
  </r>
  <r>
    <d v="2024-08-27T00:00:00"/>
    <x v="77"/>
    <s v="MTN/DebitSessionCharge/MenuTelcoFeefor234903561_x000a_6092"/>
    <x v="0"/>
    <s v="6.98"/>
    <s v="-"/>
    <n v="5571.41"/>
    <n v="6.98"/>
    <n v="0"/>
    <x v="0"/>
    <x v="0"/>
    <x v="3"/>
    <x v="1"/>
    <x v="3"/>
    <x v="1"/>
  </r>
  <r>
    <d v="2024-08-27T00:00:00"/>
    <x v="77"/>
    <s v="AIRTIME/ MTN/ 09037664552"/>
    <x v="0"/>
    <s v="500.00"/>
    <s v="-"/>
    <n v="5071.41"/>
    <n v="500"/>
    <n v="0"/>
    <x v="0"/>
    <x v="0"/>
    <x v="3"/>
    <x v="1"/>
    <x v="3"/>
    <x v="1"/>
  </r>
  <r>
    <d v="2024-08-27T00:00:00"/>
    <x v="77"/>
    <s v="RVSL_AIRTIME/ MTN/ 09037664552"/>
    <x v="0"/>
    <s v="-"/>
    <s v="500.00"/>
    <n v="5571.41"/>
    <n v="0"/>
    <n v="500"/>
    <x v="1"/>
    <x v="0"/>
    <x v="3"/>
    <x v="1"/>
    <x v="3"/>
    <x v="1"/>
  </r>
  <r>
    <d v="2024-08-27T00:00:00"/>
    <x v="77"/>
    <s v="AIRTIME/ MTN/09037664552"/>
    <x v="0"/>
    <s v="500.00"/>
    <s v="-"/>
    <n v="5071.41"/>
    <n v="500"/>
    <n v="0"/>
    <x v="0"/>
    <x v="0"/>
    <x v="3"/>
    <x v="1"/>
    <x v="3"/>
    <x v="1"/>
  </r>
  <r>
    <d v="2024-08-28T00:00:00"/>
    <x v="78"/>
    <s v="TRF//FRM KAFILAT AYOMIDE LAWAL TO Kafilat_x000a_Ayomide Lawal- C03"/>
    <x v="1"/>
    <s v="2,010.75"/>
    <s v="-"/>
    <n v="3060.66"/>
    <n v="2010.75"/>
    <n v="0"/>
    <x v="0"/>
    <x v="0"/>
    <x v="3"/>
    <x v="1"/>
    <x v="3"/>
    <x v="1"/>
  </r>
  <r>
    <d v="2024-08-30T00:00:00"/>
    <x v="79"/>
    <s v="SMS Alert Fee-29/07-28/08/2024 + VAT"/>
    <x v="4"/>
    <s v="25.80"/>
    <s v="-"/>
    <n v="3034.86"/>
    <n v="25.8"/>
    <n v="0"/>
    <x v="0"/>
    <x v="0"/>
    <x v="3"/>
    <x v="1"/>
    <x v="3"/>
    <x v="1"/>
  </r>
  <r>
    <d v="2024-08-30T00:00:00"/>
    <x v="79"/>
    <s v="MTN/DebitSessionCharge/MenuTelcoFeefor234903561_x000a_6092"/>
    <x v="0"/>
    <s v="6.98"/>
    <s v="-"/>
    <n v="3027.88"/>
    <n v="6.98"/>
    <n v="0"/>
    <x v="0"/>
    <x v="0"/>
    <x v="3"/>
    <x v="1"/>
    <x v="3"/>
    <x v="1"/>
  </r>
  <r>
    <d v="2024-08-31T00:00:00"/>
    <x v="80"/>
    <s v="MTN/DebitSessionCharge/MenuTelcoFeefor234903561_x000a_6092"/>
    <x v="0"/>
    <s v="6.98"/>
    <s v="-"/>
    <n v="3020.9"/>
    <n v="6.98"/>
    <n v="0"/>
    <x v="0"/>
    <x v="0"/>
    <x v="3"/>
    <x v="1"/>
    <x v="3"/>
    <x v="1"/>
  </r>
  <r>
    <d v="2024-08-31T00:00:00"/>
    <x v="81"/>
    <s v="CREDIT INTEREST CAPITALIZATION"/>
    <x v="5"/>
    <s v="-"/>
    <s v="35.70"/>
    <n v="3056.6"/>
    <n v="0"/>
    <n v="35.700000000000003"/>
    <x v="1"/>
    <x v="2"/>
    <x v="3"/>
    <x v="1"/>
    <x v="4"/>
    <x v="1"/>
  </r>
  <r>
    <d v="2024-08-31T00:00:00"/>
    <x v="81"/>
    <s v="WHT ON CREDIT INTEREST"/>
    <x v="5"/>
    <s v="3.57"/>
    <s v="-"/>
    <n v="3053.03"/>
    <n v="3.57"/>
    <n v="0"/>
    <x v="0"/>
    <x v="2"/>
    <x v="3"/>
    <x v="1"/>
    <x v="4"/>
    <x v="1"/>
  </r>
  <r>
    <d v="2024-09-01T00:00:00"/>
    <x v="81"/>
    <s v="MTN/DebitSessionCharge/MenuTelcoFeefor234903561_x000a_6092"/>
    <x v="0"/>
    <s v="6.98"/>
    <s v="-"/>
    <n v="3046.05"/>
    <n v="6.98"/>
    <n v="0"/>
    <x v="0"/>
    <x v="0"/>
    <x v="4"/>
    <x v="1"/>
    <x v="4"/>
    <x v="1"/>
  </r>
  <r>
    <d v="2024-09-02T00:00:00"/>
    <x v="82"/>
    <s v="MTN/DebitSessionCharge/MenuTelcoFeefor234903561_x000a_6092"/>
    <x v="0"/>
    <s v="6.98"/>
    <s v="-"/>
    <n v="3039.07"/>
    <n v="6.98"/>
    <n v="0"/>
    <x v="0"/>
    <x v="0"/>
    <x v="4"/>
    <x v="1"/>
    <x v="4"/>
    <x v="1"/>
  </r>
  <r>
    <d v="2024-09-02T00:00:00"/>
    <x v="82"/>
    <s v="MTN/DebitSessionCharge/MenuTelcoFeefor234903561_x000a_6092"/>
    <x v="0"/>
    <s v="6.98"/>
    <s v="-"/>
    <n v="3032.09"/>
    <n v="6.98"/>
    <n v="0"/>
    <x v="0"/>
    <x v="0"/>
    <x v="4"/>
    <x v="1"/>
    <x v="4"/>
    <x v="1"/>
  </r>
  <r>
    <d v="2024-09-02T00:00:00"/>
    <x v="82"/>
    <s v="MTN/DebitSessionCharge/MenuTelcoFeefor234903561_x000a_6092"/>
    <x v="0"/>
    <s v="6.98"/>
    <s v="-"/>
    <n v="3025.11"/>
    <n v="6.98"/>
    <n v="0"/>
    <x v="0"/>
    <x v="0"/>
    <x v="4"/>
    <x v="1"/>
    <x v="4"/>
    <x v="1"/>
  </r>
  <r>
    <d v="2024-09-03T00:00:00"/>
    <x v="83"/>
    <s v="R-1107258331/FGN:_x000a_FEDER:NYSCOYAUG24NRA:CBN:1107086008-:11070"/>
    <x v="7"/>
    <s v="-"/>
    <s v="33,000.00"/>
    <n v="36025.11"/>
    <n v="0"/>
    <n v="33000"/>
    <x v="1"/>
    <x v="0"/>
    <x v="4"/>
    <x v="1"/>
    <x v="4"/>
    <x v="1"/>
  </r>
  <r>
    <d v="2024-09-03T00:00:00"/>
    <x v="83"/>
    <s v="TRF//FRM KAFILAT AYOMIDE LAWAL TO Kafilat_x000a_Ayomide Lawal- C03"/>
    <x v="1"/>
    <s v="10,026.88"/>
    <s v="-"/>
    <n v="25998.23"/>
    <n v="10026.879999999999"/>
    <n v="0"/>
    <x v="0"/>
    <x v="0"/>
    <x v="4"/>
    <x v="1"/>
    <x v="4"/>
    <x v="1"/>
  </r>
  <r>
    <d v="2024-09-03T00:00:00"/>
    <x v="83"/>
    <s v="TRF//FRM KAFILAT AYOMIDE LAWAL TO Kafilat_x000a_Ayomide Lawal- C03"/>
    <x v="1"/>
    <s v="10,026.88"/>
    <s v="-"/>
    <n v="15971.35"/>
    <n v="10026.879999999999"/>
    <n v="0"/>
    <x v="0"/>
    <x v="0"/>
    <x v="4"/>
    <x v="1"/>
    <x v="4"/>
    <x v="1"/>
  </r>
  <r>
    <d v="2024-09-06T00:00:00"/>
    <x v="84"/>
    <s v="TRF//FRM KAFILAT AYOMIDE LAWAL TO Kafilat_x000a_Ayomide Lawal- C03"/>
    <x v="1"/>
    <s v="2,010.75"/>
    <s v="-"/>
    <n v="13960.6"/>
    <n v="2010.75"/>
    <n v="0"/>
    <x v="0"/>
    <x v="0"/>
    <x v="4"/>
    <x v="1"/>
    <x v="4"/>
    <x v="1"/>
  </r>
  <r>
    <d v="2024-09-06T00:00:00"/>
    <x v="84"/>
    <s v="TRF//FRM KAFILAT AYOMIDE LAWAL TO Kafilat_x000a_Ayomide Lawal- C03"/>
    <x v="1"/>
    <s v="1,010.75"/>
    <s v="-"/>
    <n v="12949.85"/>
    <n v="1010.75"/>
    <n v="0"/>
    <x v="0"/>
    <x v="0"/>
    <x v="4"/>
    <x v="1"/>
    <x v="4"/>
    <x v="1"/>
  </r>
  <r>
    <d v="2024-09-09T00:00:00"/>
    <x v="85"/>
    <s v="MTN/DebitSessionCharge/MenuTelcoFeefor234903561_x000a_6092"/>
    <x v="0"/>
    <s v="6.98"/>
    <s v="-"/>
    <n v="12942.87"/>
    <n v="6.98"/>
    <n v="0"/>
    <x v="0"/>
    <x v="0"/>
    <x v="4"/>
    <x v="1"/>
    <x v="4"/>
    <x v="1"/>
  </r>
  <r>
    <d v="2024-09-09T00:00:00"/>
    <x v="85"/>
    <s v="MTN/DebitSessionCharge/MenuTelcoFeefor234903561_x000a_6092"/>
    <x v="0"/>
    <s v="6.98"/>
    <s v="-"/>
    <n v="12935.89"/>
    <n v="6.98"/>
    <n v="0"/>
    <x v="0"/>
    <x v="0"/>
    <x v="4"/>
    <x v="1"/>
    <x v="4"/>
    <x v="1"/>
  </r>
  <r>
    <d v="2024-09-09T00:00:00"/>
    <x v="85"/>
    <s v="MTN/DebitSessionCharge/MenuTelcoFeefor234903561_x000a_6092"/>
    <x v="0"/>
    <s v="6.98"/>
    <s v="-"/>
    <n v="12928.91"/>
    <n v="6.98"/>
    <n v="0"/>
    <x v="0"/>
    <x v="0"/>
    <x v="4"/>
    <x v="1"/>
    <x v="4"/>
    <x v="1"/>
  </r>
  <r>
    <d v="2024-09-13T00:00:00"/>
    <x v="86"/>
    <s v="MTN/DebitSessionCharge/MenuTelcoFeefor234903561_x000a_6092"/>
    <x v="0"/>
    <s v="6.98"/>
    <s v="-"/>
    <n v="12921.93"/>
    <n v="6.98"/>
    <n v="0"/>
    <x v="0"/>
    <x v="0"/>
    <x v="4"/>
    <x v="1"/>
    <x v="4"/>
    <x v="1"/>
  </r>
  <r>
    <d v="2024-09-21T00:00:00"/>
    <x v="87"/>
    <s v="MTN/DebitSessionCharge/MenuTelcoFeefor234903561_x000a_6092"/>
    <x v="0"/>
    <s v="6.98"/>
    <s v="-"/>
    <n v="12914.95"/>
    <n v="6.98"/>
    <n v="0"/>
    <x v="0"/>
    <x v="0"/>
    <x v="4"/>
    <x v="1"/>
    <x v="4"/>
    <x v="1"/>
  </r>
  <r>
    <d v="2024-09-21T00:00:00"/>
    <x v="87"/>
    <s v="MTN/DebitSessionCharge/MenuTelcoFeefor234903561_x000a_6092"/>
    <x v="0"/>
    <s v="6.98"/>
    <s v="-"/>
    <n v="12907.97"/>
    <n v="6.98"/>
    <n v="0"/>
    <x v="0"/>
    <x v="0"/>
    <x v="4"/>
    <x v="1"/>
    <x v="4"/>
    <x v="1"/>
  </r>
  <r>
    <d v="2024-09-21T00:00:00"/>
    <x v="87"/>
    <s v="AIRTIME/ AIRTEL/09124024539"/>
    <x v="0"/>
    <s v="500.00"/>
    <s v="-"/>
    <n v="12407.97"/>
    <n v="500"/>
    <n v="0"/>
    <x v="0"/>
    <x v="0"/>
    <x v="4"/>
    <x v="1"/>
    <x v="4"/>
    <x v="1"/>
  </r>
  <r>
    <d v="2024-09-29T00:00:00"/>
    <x v="88"/>
    <s v="TRF//FRM KAFILAT AYOMIDE LAWAL TO Kafilat_x000a_Ayomide Lawal- C03"/>
    <x v="1"/>
    <s v="2,010.75"/>
    <s v="-"/>
    <n v="10397.219999999999"/>
    <n v="2010.75"/>
    <n v="0"/>
    <x v="0"/>
    <x v="0"/>
    <x v="4"/>
    <x v="1"/>
    <x v="4"/>
    <x v="1"/>
  </r>
  <r>
    <d v="2024-09-30T00:00:00"/>
    <x v="89"/>
    <s v="SMS Alert Fee-29/08-28/09/2024 + VAT"/>
    <x v="4"/>
    <s v="25.80"/>
    <s v="-"/>
    <n v="10371.42"/>
    <n v="25.8"/>
    <n v="0"/>
    <x v="0"/>
    <x v="0"/>
    <x v="4"/>
    <x v="1"/>
    <x v="4"/>
    <x v="1"/>
  </r>
  <r>
    <d v="2024-10-01T00:00:00"/>
    <x v="90"/>
    <s v="MTN/DebitSessionCharge/MenuTelcoFeefor234903561_x000a_6092"/>
    <x v="0"/>
    <s v="6.98"/>
    <s v="-"/>
    <n v="10364.44"/>
    <n v="6.98"/>
    <n v="0"/>
    <x v="0"/>
    <x v="0"/>
    <x v="5"/>
    <x v="1"/>
    <x v="5"/>
    <x v="1"/>
  </r>
  <r>
    <d v="2024-10-02T00:00:00"/>
    <x v="91"/>
    <s v="4TH QUARTER 2024 CARD MAINT FEE-VISA/VAT"/>
    <x v="4"/>
    <s v="53.75"/>
    <s v="-"/>
    <n v="10310.69"/>
    <n v="53.75"/>
    <n v="0"/>
    <x v="0"/>
    <x v="0"/>
    <x v="5"/>
    <x v="1"/>
    <x v="5"/>
    <x v="1"/>
  </r>
  <r>
    <d v="2024-10-03T00:00:00"/>
    <x v="91"/>
    <s v="R-1125834597/FGN:_x000a_FEDER:NYSCOYSEPT24NRA:CBN:1125853012-:1125"/>
    <x v="7"/>
    <s v="-"/>
    <s v="33,000.00"/>
    <n v="43310.69"/>
    <n v="0"/>
    <n v="33000"/>
    <x v="1"/>
    <x v="1"/>
    <x v="5"/>
    <x v="1"/>
    <x v="5"/>
    <x v="1"/>
  </r>
  <r>
    <d v="2024-10-03T00:00:00"/>
    <x v="92"/>
    <s v="MTN/DebitSessionCharge/MenuTelcoFeefor234903561_x000a_6092"/>
    <x v="0"/>
    <s v="6.98"/>
    <s v="-"/>
    <n v="43303.71"/>
    <n v="6.98"/>
    <n v="0"/>
    <x v="0"/>
    <x v="0"/>
    <x v="5"/>
    <x v="1"/>
    <x v="5"/>
    <x v="1"/>
  </r>
  <r>
    <d v="2024-10-03T00:00:00"/>
    <x v="92"/>
    <s v="MTN/DebitSessionCharge/MenuTelcoFeefor234903561_x000a_6092"/>
    <x v="0"/>
    <s v="6.98"/>
    <s v="-"/>
    <n v="43296.73"/>
    <n v="6.98"/>
    <n v="0"/>
    <x v="0"/>
    <x v="0"/>
    <x v="5"/>
    <x v="1"/>
    <x v="5"/>
    <x v="1"/>
  </r>
  <r>
    <d v="2024-10-03T00:00:00"/>
    <x v="92"/>
    <s v="TRF//FRM KAFILAT AYOMIDE LAWAL TO Kafilat_x000a_Ayomide Lawal- C03"/>
    <x v="1"/>
    <s v="15,026.88"/>
    <s v="-"/>
    <n v="28269.85"/>
    <n v="15026.88"/>
    <n v="0"/>
    <x v="0"/>
    <x v="0"/>
    <x v="5"/>
    <x v="1"/>
    <x v="5"/>
    <x v="1"/>
  </r>
  <r>
    <d v="2024-10-04T00:00:00"/>
    <x v="93"/>
    <s v="MTN/DebitSessionCharge/MenuTelcoFeefor234903561_x000a_6092"/>
    <x v="0"/>
    <s v="6.98"/>
    <s v="-"/>
    <n v="28262.87"/>
    <n v="6.98"/>
    <n v="0"/>
    <x v="0"/>
    <x v="0"/>
    <x v="5"/>
    <x v="1"/>
    <x v="5"/>
    <x v="1"/>
  </r>
  <r>
    <d v="2024-10-05T00:00:00"/>
    <x v="94"/>
    <s v="MTN/DebitSessionCharge/MenuTelcoFeefor234903561_x000a_6092"/>
    <x v="0"/>
    <s v="6.98"/>
    <s v="-"/>
    <n v="28255.89"/>
    <n v="6.98"/>
    <n v="0"/>
    <x v="0"/>
    <x v="0"/>
    <x v="5"/>
    <x v="1"/>
    <x v="5"/>
    <x v="1"/>
  </r>
  <r>
    <d v="2024-10-06T00:00:00"/>
    <x v="95"/>
    <s v="MTN/DebitSessionCharge/MenuTelcoFeefor234903561_x000a_6092"/>
    <x v="0"/>
    <s v="6.98"/>
    <s v="-"/>
    <n v="28248.91"/>
    <n v="6.98"/>
    <n v="0"/>
    <x v="0"/>
    <x v="0"/>
    <x v="5"/>
    <x v="1"/>
    <x v="5"/>
    <x v="1"/>
  </r>
  <r>
    <d v="2024-10-07T00:00:00"/>
    <x v="95"/>
    <s v="TRF//FRM KAFILAT AYOMIDE LAWAL TO Kafilat_x000a_Ayomide Lawal- C03"/>
    <x v="1"/>
    <s v="6,026.88"/>
    <s v="-"/>
    <n v="22222.03"/>
    <n v="6026.88"/>
    <n v="0"/>
    <x v="0"/>
    <x v="1"/>
    <x v="5"/>
    <x v="1"/>
    <x v="5"/>
    <x v="1"/>
  </r>
  <r>
    <d v="2024-10-09T00:00:00"/>
    <x v="96"/>
    <s v="TRF//FRM KAFILAT AYOMIDE LAWAL TO Kafilat_x000a_Ayomide Lawal- C03"/>
    <x v="1"/>
    <s v="2,010.75"/>
    <s v="-"/>
    <n v="20211.28"/>
    <n v="2010.75"/>
    <n v="0"/>
    <x v="0"/>
    <x v="0"/>
    <x v="5"/>
    <x v="1"/>
    <x v="5"/>
    <x v="1"/>
  </r>
  <r>
    <d v="2024-10-12T00:00:00"/>
    <x v="97"/>
    <s v="MTN/DebitSessionCharge/MenuTelcoFeefor234903561_x000a_6092"/>
    <x v="0"/>
    <s v="6.98"/>
    <s v="-"/>
    <n v="20204.3"/>
    <n v="6.98"/>
    <n v="0"/>
    <x v="0"/>
    <x v="0"/>
    <x v="5"/>
    <x v="1"/>
    <x v="5"/>
    <x v="1"/>
  </r>
  <r>
    <d v="2024-10-14T00:00:00"/>
    <x v="98"/>
    <s v="MTN/DebitSessionCharge/MenuTelcoFeefor234903561_x000a_6092"/>
    <x v="0"/>
    <s v="6.98"/>
    <s v="-"/>
    <n v="20197.32"/>
    <n v="6.98"/>
    <n v="0"/>
    <x v="0"/>
    <x v="0"/>
    <x v="5"/>
    <x v="1"/>
    <x v="5"/>
    <x v="1"/>
  </r>
  <r>
    <d v="2024-10-14T00:00:00"/>
    <x v="98"/>
    <s v="MTN/DebitSessionCharge/MenuTelcoFeefor234903561_x000a_6092"/>
    <x v="0"/>
    <s v="6.98"/>
    <s v="-"/>
    <n v="20190.34"/>
    <n v="6.98"/>
    <n v="0"/>
    <x v="0"/>
    <x v="0"/>
    <x v="5"/>
    <x v="1"/>
    <x v="5"/>
    <x v="1"/>
  </r>
  <r>
    <d v="2024-10-21T00:00:00"/>
    <x v="99"/>
    <s v="T GODKEM CATERING A 002814 2TEPYWBP LANG"/>
    <x v="1"/>
    <s v="1,330.00"/>
    <s v="-"/>
    <n v="18860.34"/>
    <n v="1330"/>
    <n v="0"/>
    <x v="0"/>
    <x v="0"/>
    <x v="5"/>
    <x v="1"/>
    <x v="5"/>
    <x v="1"/>
  </r>
  <r>
    <d v="2024-10-21T00:00:00"/>
    <x v="99"/>
    <s v="TRF//FRM KAFILAT AYOMIDE LAWAL TO Kafilat_x000a_Ayomide Lawal- C03"/>
    <x v="1"/>
    <s v="10,026.88"/>
    <s v="-"/>
    <n v="8833.4599999999991"/>
    <n v="10026.879999999999"/>
    <n v="0"/>
    <x v="0"/>
    <x v="0"/>
    <x v="5"/>
    <x v="1"/>
    <x v="5"/>
    <x v="1"/>
  </r>
  <r>
    <d v="2024-10-22T00:00:00"/>
    <x v="100"/>
    <s v="TRF//FRM KAFILAT AYOMIDE LAWAL TO Kafilat_x000a_Ayomide Lawal- C03"/>
    <x v="1"/>
    <s v="8,026.88"/>
    <s v="-"/>
    <n v="806.58"/>
    <n v="8026.88"/>
    <n v="0"/>
    <x v="0"/>
    <x v="0"/>
    <x v="5"/>
    <x v="1"/>
    <x v="5"/>
    <x v="1"/>
  </r>
  <r>
    <d v="2024-10-23T00:00:00"/>
    <x v="101"/>
    <s v="TRF//FRM KAFILAT AYOMIDE LAWAL TO Kafilat_x000a_Ayomide Lawal- C03"/>
    <x v="1"/>
    <s v="510.75"/>
    <s v="-"/>
    <n v="295.83"/>
    <n v="510.75"/>
    <n v="0"/>
    <x v="0"/>
    <x v="0"/>
    <x v="5"/>
    <x v="1"/>
    <x v="5"/>
    <x v="1"/>
  </r>
  <r>
    <d v="2024-10-27T00:00:00"/>
    <x v="102"/>
    <s v="TRF//FRM KAFILAT AYOMIDE LAWAL TO Kafilat_x000a_Ayomide Lawal- C03"/>
    <x v="1"/>
    <s v="210.75"/>
    <s v="-"/>
    <n v="85.08"/>
    <n v="210.75"/>
    <n v="0"/>
    <x v="0"/>
    <x v="0"/>
    <x v="5"/>
    <x v="1"/>
    <x v="5"/>
    <x v="1"/>
  </r>
  <r>
    <d v="2024-10-30T00:00:00"/>
    <x v="103"/>
    <s v="SMS Alert Fee-29/09-28/10/2024 + VAT"/>
    <x v="4"/>
    <s v="47.30"/>
    <s v="-"/>
    <n v="37.78"/>
    <n v="47.3"/>
    <n v="0"/>
    <x v="0"/>
    <x v="0"/>
    <x v="5"/>
    <x v="1"/>
    <x v="5"/>
    <x v="1"/>
  </r>
  <r>
    <d v="2024-10-30T00:00:00"/>
    <x v="103"/>
    <s v="R-1141979502/FGN:_x000a_FEDER:NYSCOYOCT24NRA:CBN:1141936863-:11419"/>
    <x v="7"/>
    <s v="-"/>
    <s v="33,000.00"/>
    <n v="33037.78"/>
    <n v="0"/>
    <n v="33000"/>
    <x v="1"/>
    <x v="0"/>
    <x v="5"/>
    <x v="1"/>
    <x v="5"/>
    <x v="1"/>
  </r>
  <r>
    <d v="2024-10-31T00:00:00"/>
    <x v="104"/>
    <s v="TRF//FRM KAFILAT AYOMIDE LAWAL TO Kafilat_x000a_Ayomide Lawal- C03"/>
    <x v="1"/>
    <s v="20,026.88"/>
    <s v="-"/>
    <n v="13010.9"/>
    <n v="20026.88"/>
    <n v="0"/>
    <x v="0"/>
    <x v="0"/>
    <x v="5"/>
    <x v="1"/>
    <x v="5"/>
    <x v="1"/>
  </r>
  <r>
    <d v="2024-11-01T00:00:00"/>
    <x v="105"/>
    <s v="TRF//FRM KAFILAT AYOMIDE LAWAL TO Kafilat_x000a_Ayomide Lawal- C03"/>
    <x v="1"/>
    <s v="2,010.75"/>
    <s v="-"/>
    <n v="11000.15"/>
    <n v="2010.75"/>
    <n v="0"/>
    <x v="0"/>
    <x v="0"/>
    <x v="6"/>
    <x v="1"/>
    <x v="6"/>
    <x v="1"/>
  </r>
  <r>
    <d v="2024-11-04T00:00:00"/>
    <x v="106"/>
    <s v="TRF//FRM KAFILAT AYOMIDE LAWAL TO Kafilat_x000a_Ayomide Lawal- C03"/>
    <x v="1"/>
    <s v="3,010.75"/>
    <s v="-"/>
    <n v="7989.4"/>
    <n v="3010.75"/>
    <n v="0"/>
    <x v="0"/>
    <x v="0"/>
    <x v="6"/>
    <x v="1"/>
    <x v="6"/>
    <x v="1"/>
  </r>
  <r>
    <d v="2024-11-04T00:00:00"/>
    <x v="106"/>
    <s v="TRF//FRM KAFILAT AYOMIDE LAWAL TO Kafilat_x000a_Ayomide Lawal- C03"/>
    <x v="1"/>
    <s v="1,010.75"/>
    <s v="-"/>
    <n v="6978.65"/>
    <n v="1010.75"/>
    <n v="0"/>
    <x v="0"/>
    <x v="0"/>
    <x v="6"/>
    <x v="1"/>
    <x v="6"/>
    <x v="1"/>
  </r>
  <r>
    <d v="2024-11-06T00:00:00"/>
    <x v="107"/>
    <s v="TRF//FRM KAFILAT AYOMIDE LAWAL TO Kafilat_x000a_Ayomide Lawal- C03"/>
    <x v="1"/>
    <s v="2,010.75"/>
    <s v="-"/>
    <n v="4967.8999999999996"/>
    <n v="2010.75"/>
    <n v="0"/>
    <x v="0"/>
    <x v="0"/>
    <x v="6"/>
    <x v="1"/>
    <x v="6"/>
    <x v="1"/>
  </r>
  <r>
    <d v="2024-11-07T00:00:00"/>
    <x v="108"/>
    <s v="TRF//FRM KAFILAT AYOMIDE LAWAL TO Kafilat_x000a_Ayomide Lawal- C03"/>
    <x v="1"/>
    <s v="510.75"/>
    <s v="-"/>
    <n v="4457.1499999999996"/>
    <n v="510.75"/>
    <n v="0"/>
    <x v="0"/>
    <x v="0"/>
    <x v="6"/>
    <x v="1"/>
    <x v="6"/>
    <x v="1"/>
  </r>
  <r>
    <d v="2024-11-08T00:00:00"/>
    <x v="109"/>
    <s v="TRF//FRM KAFILAT AYOMIDE LAWAL TO Kafilat_x000a_Ayomide Lawal- C03"/>
    <x v="1"/>
    <s v="2,410.75"/>
    <s v="-"/>
    <n v="2046.4"/>
    <n v="2410.75"/>
    <n v="0"/>
    <x v="0"/>
    <x v="0"/>
    <x v="6"/>
    <x v="1"/>
    <x v="6"/>
    <x v="1"/>
  </r>
  <r>
    <d v="2024-11-08T00:00:00"/>
    <x v="109"/>
    <s v="TRF//FRM KAFILAT AYOMIDE LAWAL TO Kafilat_x000a_Ayomide Lawal- C03"/>
    <x v="1"/>
    <s v="2,010.75"/>
    <s v="-"/>
    <n v="35.65"/>
    <n v="2010.75"/>
    <n v="0"/>
    <x v="0"/>
    <x v="0"/>
    <x v="6"/>
    <x v="1"/>
    <x v="6"/>
    <x v="1"/>
  </r>
  <r>
    <d v="2024-11-28T00:00:00"/>
    <x v="110"/>
    <s v="R-1158891782/FGN:_x000a_FEDER:NYSCOYNOV24NRA:CBN:1158836234-:11588"/>
    <x v="7"/>
    <s v="-"/>
    <s v="33,000.00"/>
    <n v="33035.65"/>
    <n v="0"/>
    <n v="33000"/>
    <x v="1"/>
    <x v="0"/>
    <x v="6"/>
    <x v="1"/>
    <x v="6"/>
    <x v="1"/>
  </r>
  <r>
    <d v="2024-11-28T00:00:00"/>
    <x v="110"/>
    <s v="TRF//FRM KAFILAT AYOMIDE LAWAL TO Kafilat_x000a_Ayomide Lawal- C03"/>
    <x v="1"/>
    <s v="20,026.88"/>
    <s v="-"/>
    <n v="13008.77"/>
    <n v="20026.88"/>
    <n v="0"/>
    <x v="0"/>
    <x v="0"/>
    <x v="6"/>
    <x v="1"/>
    <x v="6"/>
    <x v="1"/>
  </r>
  <r>
    <d v="2024-11-29T00:00:00"/>
    <x v="111"/>
    <s v="TRF//FRM KAFILAT AYOMIDE LAWAL TO Kafilat_x000a_Ayomide Lawal- C03"/>
    <x v="1"/>
    <s v="3,010.75"/>
    <s v="-"/>
    <n v="9998.02"/>
    <n v="3010.75"/>
    <n v="0"/>
    <x v="0"/>
    <x v="0"/>
    <x v="6"/>
    <x v="1"/>
    <x v="6"/>
    <x v="1"/>
  </r>
  <r>
    <d v="2024-11-29T00:00:00"/>
    <x v="111"/>
    <s v="TRF//FRM KAFILAT AYOMIDE LAWAL TO Kafilat_x000a_Ayomide Lawal- C03"/>
    <x v="1"/>
    <s v="4,910.75"/>
    <s v="-"/>
    <n v="5087.2700000000004"/>
    <n v="4910.75"/>
    <n v="0"/>
    <x v="0"/>
    <x v="0"/>
    <x v="6"/>
    <x v="1"/>
    <x v="6"/>
    <x v="1"/>
  </r>
  <r>
    <d v="2024-11-30T00:00:00"/>
    <x v="112"/>
    <s v="SMS Alert Fee-29/10-28/11/2024 + VAT"/>
    <x v="4"/>
    <s v="47.30"/>
    <s v="-"/>
    <n v="5039.97"/>
    <n v="47.3"/>
    <n v="0"/>
    <x v="0"/>
    <x v="0"/>
    <x v="6"/>
    <x v="1"/>
    <x v="6"/>
    <x v="1"/>
  </r>
  <r>
    <d v="2024-12-02T00:00:00"/>
    <x v="113"/>
    <s v="TRF//FRM KAFILAT AYOMIDE LAWAL TO Kafilat_x000a_Ayomide Lawal- C03"/>
    <x v="1"/>
    <s v="5,010.75"/>
    <s v="-"/>
    <n v="29.22"/>
    <n v="5010.75"/>
    <n v="0"/>
    <x v="0"/>
    <x v="0"/>
    <x v="7"/>
    <x v="1"/>
    <x v="7"/>
    <x v="1"/>
  </r>
  <r>
    <d v="2024-12-10T00:00:00"/>
    <x v="114"/>
    <s v="TRF//FRM KAFILAT AYOMIDE LAWAL TO KAFILAT_x000a_AYOMIDE LAWAL"/>
    <x v="1"/>
    <s v="20.00"/>
    <s v="-"/>
    <n v="9.2200000000000006"/>
    <n v="20"/>
    <n v="0"/>
    <x v="0"/>
    <x v="0"/>
    <x v="7"/>
    <x v="1"/>
    <x v="7"/>
    <x v="1"/>
  </r>
  <r>
    <d v="2024-12-23T00:00:00"/>
    <x v="115"/>
    <s v="R-1174504157/FGN:_x000a_FEDER:NYSCOYDEC24NRA:CBN:1174757846-:11747"/>
    <x v="7"/>
    <s v="-"/>
    <s v="33,000.00"/>
    <n v="33009.22"/>
    <n v="0"/>
    <n v="33000"/>
    <x v="1"/>
    <x v="0"/>
    <x v="7"/>
    <x v="1"/>
    <x v="7"/>
    <x v="1"/>
  </r>
  <r>
    <d v="2024-12-23T00:00:00"/>
    <x v="115"/>
    <s v="TRF//FRM KAFILAT AYOMIDE LAWAL TO Kafilat_x000a_Ayomide Lawal- C03"/>
    <x v="1"/>
    <s v="20,026.88"/>
    <s v="-"/>
    <n v="12982.34"/>
    <n v="20026.88"/>
    <n v="0"/>
    <x v="0"/>
    <x v="0"/>
    <x v="7"/>
    <x v="1"/>
    <x v="7"/>
    <x v="1"/>
  </r>
  <r>
    <d v="2024-12-23T00:00:00"/>
    <x v="115"/>
    <s v="TRF//FRM KAFILAT AYOMIDE LAWAL TO KAFILAT_x000a_AYOMIDE LAWAL"/>
    <x v="2"/>
    <s v="-"/>
    <s v="100.00"/>
    <n v="13082.34"/>
    <n v="0"/>
    <n v="100"/>
    <x v="1"/>
    <x v="0"/>
    <x v="7"/>
    <x v="1"/>
    <x v="7"/>
    <x v="1"/>
  </r>
  <r>
    <d v="2024-12-25T00:00:00"/>
    <x v="116"/>
    <s v="TRF//FRM KAFILAT AYOMIDE LAWAL TO Kafilat_x000a_Ayomide Lawal- C03"/>
    <x v="1"/>
    <s v="10,026.88"/>
    <s v="-"/>
    <n v="3055.46"/>
    <n v="10026.879999999999"/>
    <n v="0"/>
    <x v="0"/>
    <x v="0"/>
    <x v="7"/>
    <x v="1"/>
    <x v="7"/>
    <x v="1"/>
  </r>
  <r>
    <d v="2024-12-30T00:00:00"/>
    <x v="117"/>
    <s v="SMS Alert Fee-29/11-28/12/2024 + VAT"/>
    <x v="4"/>
    <s v="34.40"/>
    <s v="-"/>
    <n v="3021.06"/>
    <n v="34.4"/>
    <n v="0"/>
    <x v="0"/>
    <x v="0"/>
    <x v="7"/>
    <x v="1"/>
    <x v="7"/>
    <x v="1"/>
  </r>
  <r>
    <d v="2024-12-31T00:00:00"/>
    <x v="118"/>
    <s v="CREDIT INTEREST CAPITALIZATION"/>
    <x v="5"/>
    <s v="-"/>
    <s v="11.92"/>
    <n v="3032.98"/>
    <n v="0"/>
    <n v="11.92"/>
    <x v="1"/>
    <x v="2"/>
    <x v="7"/>
    <x v="1"/>
    <x v="8"/>
    <x v="0"/>
  </r>
  <r>
    <d v="2024-12-31T00:00:00"/>
    <x v="118"/>
    <s v="WHT ON CREDIT INTEREST"/>
    <x v="5"/>
    <s v="1.19"/>
    <s v="-"/>
    <n v="3031.79"/>
    <n v="1.19"/>
    <n v="0"/>
    <x v="0"/>
    <x v="2"/>
    <x v="7"/>
    <x v="1"/>
    <x v="8"/>
    <x v="0"/>
  </r>
  <r>
    <d v="2025-01-11T00:00:00"/>
    <x v="119"/>
    <s v="1ST QUARTER 2025 CARD MAINT FEE-VISA/VAT"/>
    <x v="4"/>
    <s v="53.75"/>
    <s v="-"/>
    <n v="2978.04"/>
    <n v="53.75"/>
    <n v="0"/>
    <x v="0"/>
    <x v="0"/>
    <x v="8"/>
    <x v="0"/>
    <x v="8"/>
    <x v="0"/>
  </r>
  <r>
    <d v="2025-01-16T00:00:00"/>
    <x v="120"/>
    <s v="TRF//FRM KAFILAT AYOMIDE LAWAL TO KAFILAT_x000a_AYOMIDE LAWAL"/>
    <x v="2"/>
    <s v="-"/>
    <s v="2,000.00"/>
    <n v="4978.04"/>
    <n v="0"/>
    <n v="2000"/>
    <x v="1"/>
    <x v="0"/>
    <x v="8"/>
    <x v="0"/>
    <x v="8"/>
    <x v="0"/>
  </r>
  <r>
    <d v="2025-01-17T00:00:00"/>
    <x v="121"/>
    <s v="TRF//FRM KAFILAT AYOMIDE LAWAL TO KAFILAT_x000a_AYOMIDE LAWAL"/>
    <x v="2"/>
    <s v="-"/>
    <s v="2,000.00"/>
    <n v="6978.04"/>
    <n v="0"/>
    <n v="2000"/>
    <x v="1"/>
    <x v="0"/>
    <x v="8"/>
    <x v="0"/>
    <x v="8"/>
    <x v="0"/>
  </r>
  <r>
    <d v="2025-01-17T00:00:00"/>
    <x v="121"/>
    <s v="TRF//FRM KAFILAT AYOMIDE LAWAL TO Kafilat_x000a_Ayomide Lawal- C03"/>
    <x v="1"/>
    <s v="6,926.88"/>
    <s v="-"/>
    <n v="51.16"/>
    <n v="6926.88"/>
    <n v="0"/>
    <x v="0"/>
    <x v="0"/>
    <x v="8"/>
    <x v="0"/>
    <x v="8"/>
    <x v="0"/>
  </r>
  <r>
    <d v="2025-01-24T00:00:00"/>
    <x v="122"/>
    <s v="TRF//FRM KAFILAT AYOMIDE LAWAL TO KAFILAT_x000a_AYOMIDE LAWAL"/>
    <x v="2"/>
    <s v="-"/>
    <s v="2,000.00"/>
    <n v="2051.16"/>
    <n v="0"/>
    <n v="2000"/>
    <x v="1"/>
    <x v="0"/>
    <x v="8"/>
    <x v="0"/>
    <x v="8"/>
    <x v="0"/>
  </r>
  <r>
    <d v="2025-01-24T00:00:00"/>
    <x v="122"/>
    <s v="TRF//FRM KAFILAT AYOMIDE LAWAL TO Kafilat_x000a_Ayomide Lawal- C03"/>
    <x v="1"/>
    <s v="2,010.75"/>
    <s v="-"/>
    <n v="40.409999999999997"/>
    <n v="2010.75"/>
    <n v="0"/>
    <x v="0"/>
    <x v="0"/>
    <x v="8"/>
    <x v="0"/>
    <x v="8"/>
    <x v="0"/>
  </r>
  <r>
    <d v="2025-01-27T00:00:00"/>
    <x v="123"/>
    <s v="TRF//FRM KAFILAT AYOMIDE LAWAL TO KAFILAT_x000a_AYOMIDE LAWAL"/>
    <x v="2"/>
    <s v="-"/>
    <s v="2,000.00"/>
    <n v="2040.41"/>
    <n v="0"/>
    <n v="2000"/>
    <x v="1"/>
    <x v="0"/>
    <x v="8"/>
    <x v="0"/>
    <x v="8"/>
    <x v="0"/>
  </r>
  <r>
    <d v="2025-01-27T00:00:00"/>
    <x v="123"/>
    <s v="TRF//FRM KAFILAT AYOMIDE LAWAL TO Kafilat_x000a_Ayomide Lawal- C03"/>
    <x v="1"/>
    <s v="2,010.75"/>
    <s v="-"/>
    <n v="29.66"/>
    <n v="2010.75"/>
    <n v="0"/>
    <x v="0"/>
    <x v="0"/>
    <x v="8"/>
    <x v="0"/>
    <x v="8"/>
    <x v="0"/>
  </r>
  <r>
    <d v="2025-01-30T00:00:00"/>
    <x v="124"/>
    <s v="SMS Alert Fee-29/12-28/01/2025 + VAT"/>
    <x v="4"/>
    <s v="29.66"/>
    <s v="-"/>
    <n v="0"/>
    <n v="29.66"/>
    <n v="0"/>
    <x v="0"/>
    <x v="0"/>
    <x v="8"/>
    <x v="0"/>
    <x v="8"/>
    <x v="0"/>
  </r>
  <r>
    <d v="2025-01-31T00:00:00"/>
    <x v="125"/>
    <s v="CREDIT INTEREST CAPITALIZATION"/>
    <x v="5"/>
    <s v="-"/>
    <s v="11.47"/>
    <n v="11.47"/>
    <n v="0"/>
    <n v="11.47"/>
    <x v="1"/>
    <x v="2"/>
    <x v="8"/>
    <x v="0"/>
    <x v="9"/>
    <x v="0"/>
  </r>
  <r>
    <d v="2025-01-31T00:00:00"/>
    <x v="125"/>
    <s v="WHT ON CREDIT INTEREST"/>
    <x v="5"/>
    <s v="1.15"/>
    <s v="-"/>
    <n v="10.32"/>
    <n v="1.1499999999999999"/>
    <n v="0"/>
    <x v="0"/>
    <x v="2"/>
    <x v="8"/>
    <x v="0"/>
    <x v="9"/>
    <x v="0"/>
  </r>
  <r>
    <d v="2025-02-03T00:00:00"/>
    <x v="126"/>
    <s v="R-1198311676/FGN:_x000a_FEDER:NYSCOYjan2025NRA:CBN:1198853616-:119"/>
    <x v="7"/>
    <s v="-"/>
    <s v="33,000.00"/>
    <n v="33010.32"/>
    <n v="0"/>
    <n v="33000"/>
    <x v="1"/>
    <x v="0"/>
    <x v="9"/>
    <x v="0"/>
    <x v="9"/>
    <x v="0"/>
  </r>
  <r>
    <d v="2025-02-03T00:00:00"/>
    <x v="126"/>
    <s v="TRF//FRM KAFILAT AYOMIDE LAWAL TO Kafilat_x000a_Ayomide Lawal- C03"/>
    <x v="1"/>
    <s v="20,026.88"/>
    <s v="-"/>
    <n v="12983.44"/>
    <n v="20026.88"/>
    <n v="0"/>
    <x v="0"/>
    <x v="0"/>
    <x v="9"/>
    <x v="0"/>
    <x v="9"/>
    <x v="0"/>
  </r>
  <r>
    <d v="2025-02-11T00:00:00"/>
    <x v="127"/>
    <s v="TRF//FRM KAFILAT AYOMIDE LAWAL TO Kafilat_x000a_Ayomide Lawal- C03"/>
    <x v="1"/>
    <s v="12,026.88"/>
    <s v="-"/>
    <n v="956.56"/>
    <n v="12026.88"/>
    <n v="0"/>
    <x v="0"/>
    <x v="0"/>
    <x v="9"/>
    <x v="0"/>
    <x v="9"/>
    <x v="0"/>
  </r>
  <r>
    <d v="2025-02-24T00:00:00"/>
    <x v="128"/>
    <s v="TRF//FRM KAFILAT AYOMIDE LAWAL TO KAFILAT_x000a_AYOMIDE LAWAL"/>
    <x v="2"/>
    <s v="-"/>
    <s v="2,050.00"/>
    <n v="3006.56"/>
    <n v="0"/>
    <n v="2050"/>
    <x v="1"/>
    <x v="0"/>
    <x v="9"/>
    <x v="0"/>
    <x v="9"/>
    <x v="0"/>
  </r>
  <r>
    <d v="2025-02-24T00:00:00"/>
    <x v="128"/>
    <s v="TRF//FRM KAFILAT AYOMIDE LAWAL TO KAFILAT_x000a_AYOMIDE LAWAL"/>
    <x v="2"/>
    <s v="-"/>
    <s v="7.00"/>
    <n v="3013.56"/>
    <n v="0"/>
    <n v="7"/>
    <x v="1"/>
    <x v="0"/>
    <x v="9"/>
    <x v="0"/>
    <x v="9"/>
    <x v="0"/>
  </r>
  <r>
    <d v="2025-02-24T00:00:00"/>
    <x v="129"/>
    <s v="POS PYMT T500314 2057UPXG DCIR POS LANG"/>
    <x v="6"/>
    <s v="3,000.00"/>
    <s v="-"/>
    <n v="13.56"/>
    <n v="3000"/>
    <n v="0"/>
    <x v="0"/>
    <x v="2"/>
    <x v="9"/>
    <x v="0"/>
    <x v="9"/>
    <x v="0"/>
  </r>
  <r>
    <d v="2025-02-26T00:00:00"/>
    <x v="130"/>
    <s v="Paystack/Transfer from PiggyVestPiggyVest"/>
    <x v="2"/>
    <s v="-"/>
    <s v="2,000.00"/>
    <n v="2013.56"/>
    <n v="0"/>
    <n v="2000"/>
    <x v="1"/>
    <x v="0"/>
    <x v="9"/>
    <x v="0"/>
    <x v="9"/>
    <x v="0"/>
  </r>
  <r>
    <d v="2025-02-26T00:00:00"/>
    <x v="130"/>
    <s v="POS PYMT T562689 2033H8HW DCIR POS LANG"/>
    <x v="6"/>
    <s v="2,000.00"/>
    <s v="-"/>
    <n v="13.56"/>
    <n v="2000"/>
    <n v="0"/>
    <x v="0"/>
    <x v="0"/>
    <x v="9"/>
    <x v="0"/>
    <x v="9"/>
    <x v="0"/>
  </r>
  <r>
    <d v="2025-02-28T00:00:00"/>
    <x v="131"/>
    <s v="CREDIT INTEREST CAPITALIZATION"/>
    <x v="5"/>
    <s v="-"/>
    <s v="26.99"/>
    <n v="40.549999999999997"/>
    <n v="0"/>
    <n v="26.99"/>
    <x v="1"/>
    <x v="2"/>
    <x v="9"/>
    <x v="0"/>
    <x v="10"/>
    <x v="0"/>
  </r>
  <r>
    <d v="2025-02-28T00:00:00"/>
    <x v="131"/>
    <s v="WHT ON CREDIT INTEREST"/>
    <x v="5"/>
    <s v="2.70"/>
    <s v="-"/>
    <n v="37.85"/>
    <n v="2.7"/>
    <n v="0"/>
    <x v="0"/>
    <x v="2"/>
    <x v="9"/>
    <x v="0"/>
    <x v="10"/>
    <x v="0"/>
  </r>
  <r>
    <d v="2025-03-04T00:00:00"/>
    <x v="132"/>
    <s v="Paystack/Transfer from PiggyVestPiggyVest"/>
    <x v="2"/>
    <s v="-"/>
    <s v="2,000.00"/>
    <n v="2037.85"/>
    <n v="0"/>
    <n v="2000"/>
    <x v="1"/>
    <x v="0"/>
    <x v="10"/>
    <x v="0"/>
    <x v="10"/>
    <x v="0"/>
  </r>
  <r>
    <d v="2025-03-04T00:00:00"/>
    <x v="132"/>
    <s v="SMS Alert Fee-01/01-28/02/2025 + VAT"/>
    <x v="4"/>
    <s v="17.20"/>
    <s v="-"/>
    <n v="2020.65"/>
    <n v="17.2"/>
    <n v="0"/>
    <x v="0"/>
    <x v="0"/>
    <x v="10"/>
    <x v="0"/>
    <x v="10"/>
    <x v="0"/>
  </r>
  <r>
    <d v="2025-03-04T00:00:00"/>
    <x v="132"/>
    <s v="SMS Alert Fee-28/01-27/02/2025 + VAT"/>
    <x v="4"/>
    <s v="12.90"/>
    <s v="-"/>
    <n v="2007.75"/>
    <n v="12.9"/>
    <n v="0"/>
    <x v="0"/>
    <x v="0"/>
    <x v="10"/>
    <x v="0"/>
    <x v="10"/>
    <x v="0"/>
  </r>
  <r>
    <d v="2025-03-04T00:00:00"/>
    <x v="132"/>
    <s v="R-1214564951/FGN:_x000a_FEDER:NYSCOYFEB2025NRA:CBN:107869390-26243"/>
    <x v="7"/>
    <s v="-"/>
    <s v="33,000.00"/>
    <n v="35007.75"/>
    <n v="0"/>
    <n v="33000"/>
    <x v="1"/>
    <x v="0"/>
    <x v="10"/>
    <x v="0"/>
    <x v="10"/>
    <x v="0"/>
  </r>
  <r>
    <d v="2025-03-04T00:00:00"/>
    <x v="132"/>
    <s v="TRF//FRM KAFILAT AYOMIDE LAWAL TO Kafilat_x000a_Ayomide Lawal- C03"/>
    <x v="1"/>
    <s v="17,000.00"/>
    <s v="-"/>
    <n v="18007.75"/>
    <n v="17000"/>
    <n v="0"/>
    <x v="0"/>
    <x v="0"/>
    <x v="10"/>
    <x v="0"/>
    <x v="10"/>
    <x v="0"/>
  </r>
  <r>
    <d v="2025-03-04T00:00:00"/>
    <x v="132"/>
    <s v="COMMISSION TRF//FRM KAFILAT AYOMIDE LAWAL_x000a_TO Kafilat Ayomide Lawal- C03"/>
    <x v="1"/>
    <s v="25.00"/>
    <s v="-"/>
    <n v="17982.75"/>
    <n v="25"/>
    <n v="0"/>
    <x v="0"/>
    <x v="0"/>
    <x v="10"/>
    <x v="0"/>
    <x v="10"/>
    <x v="0"/>
  </r>
  <r>
    <d v="2025-03-04T00:00:00"/>
    <x v="132"/>
    <s v="VAT TRF//FRM KAFILAT AYOMIDE LAWAL TO Kafilat_x000a_Ayomide Lawal- C03"/>
    <x v="1"/>
    <s v="1.88"/>
    <s v="-"/>
    <n v="17980.87"/>
    <n v="1.88"/>
    <n v="0"/>
    <x v="0"/>
    <x v="0"/>
    <x v="10"/>
    <x v="0"/>
    <x v="10"/>
    <x v="0"/>
  </r>
  <r>
    <d v="2025-03-05T00:00:00"/>
    <x v="133"/>
    <s v="TRF//FRM KAFILAT AYOMIDE LAWAL TO Kafilat_x000a_Ayomide Lawal- C03"/>
    <x v="1"/>
    <s v="15,000.00"/>
    <s v="-"/>
    <n v="2980.87"/>
    <n v="15000"/>
    <n v="0"/>
    <x v="0"/>
    <x v="0"/>
    <x v="10"/>
    <x v="0"/>
    <x v="10"/>
    <x v="0"/>
  </r>
  <r>
    <d v="2025-03-05T00:00:00"/>
    <x v="133"/>
    <s v="COMMISSION TRF//FRM KAFILAT AYOMIDE LAWAL_x000a_TO Kafilat Ayomide Lawal- C03"/>
    <x v="1"/>
    <s v="25.00"/>
    <s v="-"/>
    <n v="2955.87"/>
    <n v="25"/>
    <n v="0"/>
    <x v="0"/>
    <x v="0"/>
    <x v="10"/>
    <x v="0"/>
    <x v="10"/>
    <x v="0"/>
  </r>
  <r>
    <d v="2025-03-05T00:00:00"/>
    <x v="133"/>
    <s v="VAT TRF//FRM KAFILAT AYOMIDE LAWAL TO Kafilat_x000a_Ayomide Lawal- C03"/>
    <x v="1"/>
    <s v="1.88"/>
    <s v="-"/>
    <n v="2953.99"/>
    <n v="1.88"/>
    <n v="0"/>
    <x v="0"/>
    <x v="0"/>
    <x v="10"/>
    <x v="0"/>
    <x v="10"/>
    <x v="0"/>
  </r>
  <r>
    <d v="2025-03-09T00:00:00"/>
    <x v="134"/>
    <s v="Paystack/Transfer from PiggyVestPiggyVest"/>
    <x v="2"/>
    <s v="-"/>
    <s v="2,000.00"/>
    <n v="4953.99"/>
    <n v="0"/>
    <n v="2000"/>
    <x v="1"/>
    <x v="0"/>
    <x v="10"/>
    <x v="0"/>
    <x v="10"/>
    <x v="0"/>
  </r>
  <r>
    <d v="2025-03-10T00:00:00"/>
    <x v="135"/>
    <s v="POS PYMT T424324 20334XZX DCIR POS LANG"/>
    <x v="6"/>
    <s v="4,600.00"/>
    <s v="-"/>
    <n v="353.99"/>
    <n v="4600"/>
    <n v="0"/>
    <x v="0"/>
    <x v="0"/>
    <x v="10"/>
    <x v="0"/>
    <x v="10"/>
    <x v="0"/>
  </r>
  <r>
    <d v="2025-03-10T00:00:00"/>
    <x v="135"/>
    <s v="Paystack//2000.00/BANKAPI316404310032025150707_x000a_BFT//1882022968"/>
    <x v="2"/>
    <s v="-"/>
    <s v="2,000.00"/>
    <n v="2353.9899999999998"/>
    <n v="0"/>
    <n v="2000"/>
    <x v="1"/>
    <x v="0"/>
    <x v="10"/>
    <x v="0"/>
    <x v="10"/>
    <x v="0"/>
  </r>
  <r>
    <d v="2025-03-10T00:00:00"/>
    <x v="135"/>
    <s v="POS PYMT T597761 2057UPXG DCIR POS LANG"/>
    <x v="6"/>
    <s v="2,100.00"/>
    <s v="-"/>
    <n v="253.99"/>
    <n v="2100"/>
    <n v="0"/>
    <x v="0"/>
    <x v="0"/>
    <x v="10"/>
    <x v="0"/>
    <x v="10"/>
    <x v="0"/>
  </r>
  <r>
    <d v="2025-03-11T00:00:00"/>
    <x v="136"/>
    <s v="Paystack//2000.00/BANKAPI321126511032025163000_x000a_BFT//1882022968"/>
    <x v="2"/>
    <s v="-"/>
    <s v="2,000.00"/>
    <n v="2253.9899999999998"/>
    <n v="0"/>
    <n v="2000"/>
    <x v="1"/>
    <x v="0"/>
    <x v="10"/>
    <x v="0"/>
    <x v="10"/>
    <x v="0"/>
  </r>
  <r>
    <d v="2025-03-11T00:00:00"/>
    <x v="136"/>
    <s v="TRF//FRM KAFILAT AYOMIDE LAWAL TO KAFILAT_x000a_AYOMIDE LAWAL"/>
    <x v="2"/>
    <s v="-"/>
    <s v="1,050.00"/>
    <n v="3303.99"/>
    <n v="0"/>
    <n v="1050"/>
    <x v="1"/>
    <x v="0"/>
    <x v="10"/>
    <x v="0"/>
    <x v="10"/>
    <x v="0"/>
  </r>
  <r>
    <d v="2025-03-11T00:00:00"/>
    <x v="136"/>
    <s v="POS PYMT T316458 2MP1B6XB DCIR POS LANG"/>
    <x v="6"/>
    <s v="3,300.00"/>
    <s v="-"/>
    <n v="3.99"/>
    <n v="3300"/>
    <n v="0"/>
    <x v="0"/>
    <x v="0"/>
    <x v="10"/>
    <x v="0"/>
    <x v="10"/>
    <x v="0"/>
  </r>
  <r>
    <d v="2025-03-16T00:00:00"/>
    <x v="137"/>
    <s v="Paystack/Transfer from PiggyVestPiggyVest"/>
    <x v="2"/>
    <s v="-"/>
    <s v="2,000.00"/>
    <n v="2003.99"/>
    <n v="0"/>
    <n v="2000"/>
    <x v="1"/>
    <x v="0"/>
    <x v="10"/>
    <x v="0"/>
    <x v="10"/>
    <x v="0"/>
  </r>
  <r>
    <d v="2025-03-16T00:00:00"/>
    <x v="137"/>
    <s v="TRF//FRM KAFILAT AYOMIDE LAWAL TO KAFILAT_x000a_AYOMIDE LAWAL"/>
    <x v="2"/>
    <s v="-"/>
    <s v="12.00"/>
    <n v="2015.99"/>
    <n v="0"/>
    <n v="12"/>
    <x v="1"/>
    <x v="0"/>
    <x v="10"/>
    <x v="0"/>
    <x v="10"/>
    <x v="0"/>
  </r>
  <r>
    <d v="2025-03-16T00:00:00"/>
    <x v="137"/>
    <s v="TRF//FRM KAFILAT AYOMIDE LAWAL TO Kafilat_x000a_Ayomide Lawal- C03"/>
    <x v="1"/>
    <s v="2,000.00"/>
    <s v="-"/>
    <n v="15.99"/>
    <n v="2000"/>
    <n v="0"/>
    <x v="0"/>
    <x v="0"/>
    <x v="10"/>
    <x v="0"/>
    <x v="10"/>
    <x v="0"/>
  </r>
  <r>
    <d v="2025-03-16T00:00:00"/>
    <x v="137"/>
    <s v="COMMISSION TRF//FRM KAFILAT AYOMIDE LAWAL_x000a_TO Kafilat Ayomide Lawal- C03"/>
    <x v="1"/>
    <s v="10.00"/>
    <s v="-"/>
    <n v="5.99"/>
    <n v="10"/>
    <n v="0"/>
    <x v="0"/>
    <x v="0"/>
    <x v="10"/>
    <x v="0"/>
    <x v="10"/>
    <x v="0"/>
  </r>
  <r>
    <d v="2025-03-16T00:00:00"/>
    <x v="137"/>
    <s v="VAT TRF//FRM KAFILAT AYOMIDE LAWAL TO Kafilat_x000a_Ayomide Lawal- C03"/>
    <x v="1"/>
    <s v="0.75"/>
    <s v="-"/>
    <n v="5.24"/>
    <n v="0.75"/>
    <n v="0"/>
    <x v="0"/>
    <x v="0"/>
    <x v="10"/>
    <x v="0"/>
    <x v="10"/>
    <x v="0"/>
  </r>
  <r>
    <d v="2025-03-27T00:00:00"/>
    <x v="138"/>
    <s v="R-1230149763/FGN:_x000a_FEDER:NYSCOYMAR25NRA:CBN:1230512715-:1230_x000a_5"/>
    <x v="7"/>
    <s v="-"/>
    <s v="77,000.00"/>
    <n v="77005.240000000005"/>
    <n v="0"/>
    <n v="77000"/>
    <x v="1"/>
    <x v="0"/>
    <x v="10"/>
    <x v="0"/>
    <x v="10"/>
    <x v="0"/>
  </r>
  <r>
    <d v="2025-03-27T00:00:00"/>
    <x v="138"/>
    <s v="TRF//FRM KAFILAT AYOMIDE LAWAL TO Kafilat_x000a_Ayomide Lawal- C03"/>
    <x v="1"/>
    <s v="20,000.00"/>
    <s v="-"/>
    <n v="57005.24"/>
    <n v="20000"/>
    <n v="0"/>
    <x v="0"/>
    <x v="0"/>
    <x v="10"/>
    <x v="0"/>
    <x v="10"/>
    <x v="0"/>
  </r>
  <r>
    <d v="2025-03-27T00:00:00"/>
    <x v="138"/>
    <s v="COMMISSION TRF//FRM KAFILAT AYOMIDE LAWAL_x000a_TO Kafilat Ayomide Lawal- C03"/>
    <x v="1"/>
    <s v="25.00"/>
    <s v="-"/>
    <n v="56980.24"/>
    <n v="25"/>
    <n v="0"/>
    <x v="0"/>
    <x v="0"/>
    <x v="10"/>
    <x v="0"/>
    <x v="10"/>
    <x v="0"/>
  </r>
  <r>
    <d v="2025-03-27T00:00:00"/>
    <x v="138"/>
    <s v="VAT TRF//FRM KAFILAT AYOMIDE LAWAL TO Kafilat_x000a_Ayomide Lawal- C03"/>
    <x v="1"/>
    <s v="1.88"/>
    <s v="-"/>
    <n v="56978.36"/>
    <n v="1.88"/>
    <n v="0"/>
    <x v="0"/>
    <x v="0"/>
    <x v="10"/>
    <x v="0"/>
    <x v="10"/>
    <x v="0"/>
  </r>
  <r>
    <d v="2025-03-28T00:00:00"/>
    <x v="139"/>
    <s v="TRF//FRM KAFILAT AYOMIDE LAWAL TO KAFILAT_x000a_AYOMIDE LAWAL"/>
    <x v="2"/>
    <s v="-"/>
    <s v="4,000.00"/>
    <n v="60978.36"/>
    <n v="0"/>
    <n v="4000"/>
    <x v="1"/>
    <x v="0"/>
    <x v="10"/>
    <x v="0"/>
    <x v="10"/>
    <x v="0"/>
  </r>
  <r>
    <d v="2025-03-28T00:00:00"/>
    <x v="139"/>
    <s v="TRF//FRM KAFILAT AYOMIDE LAWAL TO Kafilat_x000a_Ayomide Lawal- C03"/>
    <x v="1"/>
    <s v="16,000.00"/>
    <s v="-"/>
    <n v="44978.36"/>
    <n v="16000"/>
    <n v="0"/>
    <x v="0"/>
    <x v="0"/>
    <x v="10"/>
    <x v="0"/>
    <x v="10"/>
    <x v="0"/>
  </r>
  <r>
    <d v="2025-03-28T00:00:00"/>
    <x v="139"/>
    <s v="COMMISSION TRF//FRM KAFILAT AYOMIDE LAWAL_x000a_TO Kafilat Ayomide Lawal- C03"/>
    <x v="1"/>
    <s v="25.00"/>
    <s v="-"/>
    <n v="44953.36"/>
    <n v="25"/>
    <n v="0"/>
    <x v="0"/>
    <x v="0"/>
    <x v="10"/>
    <x v="0"/>
    <x v="10"/>
    <x v="0"/>
  </r>
  <r>
    <d v="2025-03-28T00:00:00"/>
    <x v="139"/>
    <s v="VAT TRF//FRM KAFILAT AYOMIDE LAWAL TO Kafilat_x000a_Ayomide Lawal- C03"/>
    <x v="1"/>
    <s v="1.88"/>
    <s v="-"/>
    <n v="44951.48"/>
    <n v="1.88"/>
    <n v="0"/>
    <x v="0"/>
    <x v="0"/>
    <x v="10"/>
    <x v="0"/>
    <x v="10"/>
    <x v="0"/>
  </r>
  <r>
    <d v="2025-03-29T00:00:00"/>
    <x v="140"/>
    <s v="POS PYMT T_WINNERS_COMMUNICA_006624_x000a_2070IIUX NG"/>
    <x v="6"/>
    <s v="5,000.00"/>
    <s v="-"/>
    <n v="39951.480000000003"/>
    <n v="5000"/>
    <n v="0"/>
    <x v="0"/>
    <x v="0"/>
    <x v="10"/>
    <x v="0"/>
    <x v="10"/>
    <x v="0"/>
  </r>
  <r>
    <d v="2025-03-29T00:00:00"/>
    <x v="140"/>
    <s v="POS PYMT T_ADEWUMI_VENTURE___008815_x000a_2070IPVP NG"/>
    <x v="6"/>
    <s v="10,200.00"/>
    <s v="-"/>
    <n v="29751.48"/>
    <n v="10200"/>
    <n v="0"/>
    <x v="0"/>
    <x v="0"/>
    <x v="10"/>
    <x v="0"/>
    <x v="10"/>
    <x v="0"/>
  </r>
  <r>
    <d v="2025-03-30T00:00:00"/>
    <x v="141"/>
    <s v="SMS Alert Fee-29/02-28/03/2025 + VAT"/>
    <x v="4"/>
    <s v="109.65"/>
    <s v="-"/>
    <n v="29641.83"/>
    <n v="109.65"/>
    <n v="0"/>
    <x v="0"/>
    <x v="0"/>
    <x v="10"/>
    <x v="0"/>
    <x v="10"/>
    <x v="0"/>
  </r>
  <r>
    <d v="2025-03-30T00:00:00"/>
    <x v="141"/>
    <s v="TRF//FRM KAFILAT AYOMIDE LAWAL TO Kafilat_x000a_Ayomide Lawal- C03"/>
    <x v="1"/>
    <s v="20,000.00"/>
    <s v="-"/>
    <n v="9641.83"/>
    <n v="20000"/>
    <n v="0"/>
    <x v="0"/>
    <x v="0"/>
    <x v="10"/>
    <x v="0"/>
    <x v="10"/>
    <x v="0"/>
  </r>
  <r>
    <d v="2025-03-30T00:00:00"/>
    <x v="141"/>
    <s v="COMMISSION TRF//FRM KAFILAT AYOMIDE LAWAL_x000a_TO Kafilat Ayomide Lawal- C03"/>
    <x v="1"/>
    <s v="25.00"/>
    <s v="-"/>
    <n v="9616.83"/>
    <n v="25"/>
    <n v="0"/>
    <x v="0"/>
    <x v="0"/>
    <x v="10"/>
    <x v="0"/>
    <x v="10"/>
    <x v="0"/>
  </r>
  <r>
    <d v="2025-03-30T00:00:00"/>
    <x v="141"/>
    <s v="VAT TRF//FRM KAFILAT AYOMIDE LAWAL TO Kafilat_x000a_Ayomide Lawal- C03"/>
    <x v="1"/>
    <s v="1.88"/>
    <s v="-"/>
    <n v="9614.9500000000007"/>
    <n v="1.88"/>
    <n v="0"/>
    <x v="0"/>
    <x v="0"/>
    <x v="10"/>
    <x v="0"/>
    <x v="10"/>
    <x v="0"/>
  </r>
  <r>
    <d v="2025-03-31T00:00:00"/>
    <x v="142"/>
    <s v="TRF//FRM KAFILAT AYOMIDE LAWAL TO Kafilat_x000a_Ayomide Lawal- C03"/>
    <x v="1"/>
    <s v="5,000.00"/>
    <s v="-"/>
    <n v="4614.95"/>
    <n v="5000"/>
    <n v="0"/>
    <x v="0"/>
    <x v="0"/>
    <x v="10"/>
    <x v="0"/>
    <x v="10"/>
    <x v="0"/>
  </r>
  <r>
    <d v="2025-03-31T00:00:00"/>
    <x v="142"/>
    <s v="COMMISSION TRF//FRM KAFILAT AYOMIDE LAWAL_x000a_TO Kafilat Ayomide Lawal- C03"/>
    <x v="1"/>
    <s v="10.00"/>
    <s v="-"/>
    <n v="4604.95"/>
    <n v="10"/>
    <n v="0"/>
    <x v="0"/>
    <x v="0"/>
    <x v="10"/>
    <x v="0"/>
    <x v="10"/>
    <x v="0"/>
  </r>
  <r>
    <d v="2025-03-31T00:00:00"/>
    <x v="142"/>
    <s v="VAT TRF//FRM KAFILAT AYOMIDE LAWAL TO Kafilat_x000a_Ayomide Lawal- C03"/>
    <x v="1"/>
    <s v="0.75"/>
    <s v="-"/>
    <n v="4604.2"/>
    <n v="0.75"/>
    <n v="0"/>
    <x v="0"/>
    <x v="0"/>
    <x v="10"/>
    <x v="0"/>
    <x v="10"/>
    <x v="0"/>
  </r>
  <r>
    <d v="2025-04-02T00:00:00"/>
    <x v="143"/>
    <s v="TRF//FRM KAFILAT AYOMIDE LAWAL TO Kafilat_x000a_Ayomide Lawal- C03"/>
    <x v="1"/>
    <s v="1,000.00"/>
    <s v="-"/>
    <n v="3604.2"/>
    <n v="1000"/>
    <n v="0"/>
    <x v="0"/>
    <x v="0"/>
    <x v="11"/>
    <x v="0"/>
    <x v="11"/>
    <x v="0"/>
  </r>
  <r>
    <d v="2025-04-02T00:00:00"/>
    <x v="143"/>
    <s v="COMMISSION TRF//FRM KAFILAT AYOMIDE LAWAL_x000a_TO Kafilat Ayomide Lawal- C03"/>
    <x v="1"/>
    <s v="10.00"/>
    <s v="-"/>
    <n v="3594.2"/>
    <n v="10"/>
    <n v="0"/>
    <x v="0"/>
    <x v="0"/>
    <x v="11"/>
    <x v="0"/>
    <x v="11"/>
    <x v="0"/>
  </r>
  <r>
    <d v="2025-04-02T00:00:00"/>
    <x v="143"/>
    <s v="VAT TRF//FRM KAFILAT AYOMIDE LAWAL TO Kafilat_x000a_Ayomide Lawal- C03"/>
    <x v="1"/>
    <s v="0.75"/>
    <s v="-"/>
    <n v="3593.45"/>
    <n v="0.75"/>
    <n v="0"/>
    <x v="0"/>
    <x v="0"/>
    <x v="11"/>
    <x v="0"/>
    <x v="11"/>
    <x v="0"/>
  </r>
  <r>
    <d v="2025-04-03T00:00:00"/>
    <x v="144"/>
    <s v="TRF//FRM KAFILAT AYOMIDE LAWAL TO Kafilat_x000a_Ayomide Lawal- C03"/>
    <x v="1"/>
    <s v="2,000.00"/>
    <s v="-"/>
    <n v="1593.45"/>
    <n v="2000"/>
    <n v="0"/>
    <x v="0"/>
    <x v="0"/>
    <x v="11"/>
    <x v="0"/>
    <x v="11"/>
    <x v="0"/>
  </r>
  <r>
    <d v="2025-04-03T00:00:00"/>
    <x v="144"/>
    <s v="COMMISSION TRF//FRM KAFILAT AYOMIDE LAWAL_x000a_TO Kafilat Ayomide Lawal- C03"/>
    <x v="1"/>
    <s v="10.00"/>
    <s v="-"/>
    <n v="1583.45"/>
    <n v="10"/>
    <n v="0"/>
    <x v="0"/>
    <x v="0"/>
    <x v="11"/>
    <x v="0"/>
    <x v="11"/>
    <x v="0"/>
  </r>
  <r>
    <d v="2025-04-03T00:00:00"/>
    <x v="144"/>
    <s v="VAT TRF//FRM KAFILAT AYOMIDE LAWAL TO Kafilat_x000a_Ayomide Lawal- C03"/>
    <x v="1"/>
    <s v="0.75"/>
    <s v="-"/>
    <n v="1582.7"/>
    <n v="0.75"/>
    <n v="0"/>
    <x v="0"/>
    <x v="0"/>
    <x v="11"/>
    <x v="0"/>
    <x v="11"/>
    <x v="0"/>
  </r>
  <r>
    <d v="2025-04-03T00:00:00"/>
    <x v="144"/>
    <s v="Paystack//2000.00/BANKAPI388026703042025103951_x000a_BFT//1882022968"/>
    <x v="2"/>
    <s v="-"/>
    <s v="2,000.00"/>
    <n v="3582.7"/>
    <n v="0"/>
    <n v="2000"/>
    <x v="1"/>
    <x v="0"/>
    <x v="11"/>
    <x v="0"/>
    <x v="11"/>
    <x v="0"/>
  </r>
  <r>
    <d v="2025-04-03T00:00:00"/>
    <x v="144"/>
    <s v="TRF//FRM KAFILAT AYOMIDE LAWAL TO Kafilat_x000a_Ayomide Lawal- C03"/>
    <x v="1"/>
    <s v="2,000.00"/>
    <s v="-"/>
    <n v="1582.7"/>
    <n v="2000"/>
    <n v="0"/>
    <x v="0"/>
    <x v="0"/>
    <x v="11"/>
    <x v="0"/>
    <x v="11"/>
    <x v="0"/>
  </r>
  <r>
    <d v="2025-04-03T00:00:00"/>
    <x v="144"/>
    <s v="COMMISSION TRF//FRM KAFILAT AYOMIDE LAWAL_x000a_TO Kafilat Ayomide Lawal- C03"/>
    <x v="1"/>
    <s v="10.00"/>
    <s v="-"/>
    <n v="1572.7"/>
    <n v="10"/>
    <n v="0"/>
    <x v="0"/>
    <x v="0"/>
    <x v="11"/>
    <x v="0"/>
    <x v="11"/>
    <x v="0"/>
  </r>
  <r>
    <d v="2025-04-03T00:00:00"/>
    <x v="144"/>
    <s v="VAT TRF//FRM KAFILAT AYOMIDE LAWAL TO Kafilat_x000a_Ayomide Lawal- C03"/>
    <x v="1"/>
    <s v="0.75"/>
    <s v="-"/>
    <n v="1571.95"/>
    <n v="0.75"/>
    <n v="0"/>
    <x v="0"/>
    <x v="0"/>
    <x v="11"/>
    <x v="0"/>
    <x v="11"/>
    <x v="0"/>
  </r>
  <r>
    <d v="2025-04-13T00:00:00"/>
    <x v="145"/>
    <s v="2ND QUARTER 2025 CARD MAINT FEE-VISA/VAT"/>
    <x v="4"/>
    <s v="53.75"/>
    <s v="-"/>
    <n v="1518.2"/>
    <n v="53.75"/>
    <n v="0"/>
    <x v="0"/>
    <x v="0"/>
    <x v="11"/>
    <x v="0"/>
    <x v="11"/>
    <x v="0"/>
  </r>
  <r>
    <d v="2025-04-14T00:00:00"/>
    <x v="146"/>
    <s v="Paystack/Transfer from PiggyVestPiggyVest"/>
    <x v="2"/>
    <s v="-"/>
    <s v="2,000.00"/>
    <n v="3518.2"/>
    <n v="0"/>
    <n v="2000"/>
    <x v="1"/>
    <x v="0"/>
    <x v="11"/>
    <x v="0"/>
    <x v="11"/>
    <x v="0"/>
  </r>
  <r>
    <d v="2025-04-14T00:00:00"/>
    <x v="146"/>
    <s v="TRF//FRM KAFILAT AYOMIDE LAWAL TO Kafilat_x000a_Ayomide Lawal- C03"/>
    <x v="1"/>
    <s v="2,000.00"/>
    <s v="-"/>
    <n v="1518.2"/>
    <n v="2000"/>
    <n v="0"/>
    <x v="0"/>
    <x v="0"/>
    <x v="11"/>
    <x v="0"/>
    <x v="11"/>
    <x v="0"/>
  </r>
  <r>
    <d v="2025-04-14T00:00:00"/>
    <x v="146"/>
    <s v="COMMISSION TRF//FRM KAFILAT AYOMIDE LAWAL_x000a_TO Kafilat Ayomide Lawal- C03"/>
    <x v="1"/>
    <s v="10.00"/>
    <s v="-"/>
    <n v="1508.2"/>
    <n v="10"/>
    <n v="0"/>
    <x v="0"/>
    <x v="0"/>
    <x v="11"/>
    <x v="0"/>
    <x v="11"/>
    <x v="0"/>
  </r>
  <r>
    <d v="2025-04-14T00:00:00"/>
    <x v="146"/>
    <s v="VAT TRF//FRM KAFILAT AYOMIDE LAWAL TO Kafilat_x000a_Ayomide Lawal- C03"/>
    <x v="1"/>
    <s v="0.75"/>
    <s v="-"/>
    <n v="1507.45"/>
    <n v="0.75"/>
    <n v="0"/>
    <x v="0"/>
    <x v="0"/>
    <x v="11"/>
    <x v="0"/>
    <x v="11"/>
    <x v="0"/>
  </r>
  <r>
    <d v="2025-04-17T00:00:00"/>
    <x v="147"/>
    <s v="TRF//FRM KAFILAT AYOMIDE LAWAL TO KAFILAT_x000a_AYOMIDE LAWAL"/>
    <x v="2"/>
    <s v="-"/>
    <s v="84.00"/>
    <n v="1591.45"/>
    <n v="0"/>
    <n v="84"/>
    <x v="1"/>
    <x v="0"/>
    <x v="11"/>
    <x v="0"/>
    <x v="11"/>
    <x v="0"/>
  </r>
  <r>
    <d v="2025-04-17T00:00:00"/>
    <x v="147"/>
    <s v="TRF//FRM KAFILAT AYOMIDE LAWAL TO Kafilat_x000a_Ayomide Lawal- C03"/>
    <x v="1"/>
    <s v="1,500.00"/>
    <s v="-"/>
    <n v="91.45"/>
    <n v="1500"/>
    <n v="0"/>
    <x v="0"/>
    <x v="0"/>
    <x v="11"/>
    <x v="0"/>
    <x v="11"/>
    <x v="0"/>
  </r>
  <r>
    <d v="2025-04-17T00:00:00"/>
    <x v="147"/>
    <s v="COMMISSION TRF//FRM KAFILAT AYOMIDE LAWAL_x000a_TO Kafilat Ayomide Lawal- C03"/>
    <x v="1"/>
    <s v="10.00"/>
    <s v="-"/>
    <n v="81.45"/>
    <n v="10"/>
    <n v="0"/>
    <x v="0"/>
    <x v="0"/>
    <x v="11"/>
    <x v="0"/>
    <x v="11"/>
    <x v="0"/>
  </r>
  <r>
    <d v="2025-04-17T00:00:00"/>
    <x v="147"/>
    <s v="VAT TRF//FRM KAFILAT AYOMIDE LAWAL TO Kafilat_x000a_Ayomide Lawal- C03"/>
    <x v="1"/>
    <s v="0.75"/>
    <s v="-"/>
    <n v="80.7"/>
    <n v="0.75"/>
    <n v="0"/>
    <x v="0"/>
    <x v="0"/>
    <x v="11"/>
    <x v="0"/>
    <x v="11"/>
    <x v="0"/>
  </r>
  <r>
    <d v="2025-04-30T00:00:00"/>
    <x v="148"/>
    <s v="SMS Alert Fee-29/03-28/04/2025 + VAT"/>
    <x v="4"/>
    <s v="77.40"/>
    <s v="-"/>
    <n v="3.3"/>
    <n v="77.400000000000006"/>
    <n v="0"/>
    <x v="0"/>
    <x v="0"/>
    <x v="11"/>
    <x v="0"/>
    <x v="11"/>
    <x v="0"/>
  </r>
  <r>
    <d v="2025-05-02T00:00:00"/>
    <x v="0"/>
    <s v="R-1249928019/FGN:_x000a_FEDER:NYSCOYAPRIL25NRA:CBN:108048563-26609"/>
    <x v="7"/>
    <s v="-"/>
    <s v="77,000.00"/>
    <n v="77003.3"/>
    <n v="0"/>
    <n v="77000"/>
    <x v="1"/>
    <x v="0"/>
    <x v="0"/>
    <x v="0"/>
    <x v="0"/>
    <x v="0"/>
  </r>
  <r>
    <d v="2025-05-02T00:00:00"/>
    <x v="0"/>
    <s v="AIRTIME/ AIRTEL/08080866152"/>
    <x v="0"/>
    <s v="1,000.00"/>
    <s v="-"/>
    <n v="76003.3"/>
    <n v="1000"/>
    <n v="0"/>
    <x v="0"/>
    <x v="0"/>
    <x v="0"/>
    <x v="0"/>
    <x v="0"/>
    <x v="0"/>
  </r>
  <r>
    <d v="2025-05-03T00:00:00"/>
    <x v="0"/>
    <s v="TRF//FRM KAFILAT AYOMIDE LAWAL TO Kafilat_x000a_Ayomide Lawal- C03"/>
    <x v="1"/>
    <s v="17,000.00"/>
    <s v="-"/>
    <n v="59003.3"/>
    <n v="17000"/>
    <n v="0"/>
    <x v="0"/>
    <x v="1"/>
    <x v="0"/>
    <x v="0"/>
    <x v="0"/>
    <x v="0"/>
  </r>
  <r>
    <d v="2025-05-03T00:00:00"/>
    <x v="0"/>
    <s v="COMMISSION TRF//FRM KAFILAT AYOMIDE LAWAL_x000a_TO Kafilat Ayomide Lawal- C03"/>
    <x v="1"/>
    <s v="25.00"/>
    <s v="-"/>
    <n v="58978.3"/>
    <n v="25"/>
    <n v="0"/>
    <x v="0"/>
    <x v="1"/>
    <x v="0"/>
    <x v="0"/>
    <x v="0"/>
    <x v="0"/>
  </r>
  <r>
    <d v="2025-05-03T00:00:00"/>
    <x v="0"/>
    <s v="VAT TRF//FRM KAFILAT AYOMIDE LAWAL TO Kafilat_x000a_Ayomide Lawal- C03"/>
    <x v="1"/>
    <s v="1.88"/>
    <s v="-"/>
    <n v="58976.42"/>
    <n v="1.88"/>
    <n v="0"/>
    <x v="0"/>
    <x v="1"/>
    <x v="0"/>
    <x v="0"/>
    <x v="0"/>
    <x v="0"/>
  </r>
  <r>
    <d v="2025-05-03T00:00:00"/>
    <x v="0"/>
    <s v="TRF//FRM KAFILAT AYOMIDE LAWAL TO KAFILAT_x000a_AYOMIDE LAWAL"/>
    <x v="2"/>
    <s v="-"/>
    <s v="609.00"/>
    <n v="59585.42"/>
    <n v="0"/>
    <n v="609"/>
    <x v="1"/>
    <x v="1"/>
    <x v="0"/>
    <x v="0"/>
    <x v="0"/>
    <x v="0"/>
  </r>
  <r>
    <d v="2025-05-03T00:00:00"/>
    <x v="1"/>
    <s v="TRF//FRM KAFILAT AYOMIDE LAWAL TO Kafilat_x000a_Ayomide Lawal- C03"/>
    <x v="1"/>
    <s v="20,000.00"/>
    <s v="-"/>
    <n v="39585.42"/>
    <n v="20000"/>
    <n v="0"/>
    <x v="0"/>
    <x v="0"/>
    <x v="0"/>
    <x v="0"/>
    <x v="0"/>
    <x v="0"/>
  </r>
  <r>
    <d v="2025-05-03T00:00:00"/>
    <x v="1"/>
    <s v="COMMISSION TRF//FRM KAFILAT AYOMIDE LAWAL_x000a_TO Kafilat Ayomide Lawal- C03"/>
    <x v="1"/>
    <s v="25.00"/>
    <s v="-"/>
    <n v="39560.42"/>
    <n v="25"/>
    <n v="0"/>
    <x v="0"/>
    <x v="0"/>
    <x v="0"/>
    <x v="0"/>
    <x v="0"/>
    <x v="0"/>
  </r>
  <r>
    <d v="2025-05-03T00:00:00"/>
    <x v="1"/>
    <s v="VAT TRF//FRM KAFILAT AYOMIDE LAWAL TO Kafilat_x000a_Ayomide Lawal- C03"/>
    <x v="1"/>
    <s v="1.88"/>
    <s v="-"/>
    <n v="39558.54"/>
    <n v="1.88"/>
    <n v="0"/>
    <x v="0"/>
    <x v="0"/>
    <x v="0"/>
    <x v="0"/>
    <x v="0"/>
    <x v="0"/>
  </r>
  <r>
    <d v="2025-05-04T00:00:00"/>
    <x v="2"/>
    <s v="TRF//FRM KAFILAT AYOMIDE LAWAL TO KAFILAT_x000a_AYOMIDE LAWAL"/>
    <x v="2"/>
    <s v="-"/>
    <s v="500.00"/>
    <n v="40058.54"/>
    <n v="0"/>
    <n v="500"/>
    <x v="1"/>
    <x v="0"/>
    <x v="0"/>
    <x v="0"/>
    <x v="0"/>
    <x v="0"/>
  </r>
  <r>
    <d v="2025-05-05T00:00:00"/>
    <x v="3"/>
    <s v="TRF//FRM KAFILAT AYOMIDE LAWAL TO Kafilat_x000a_Ayomide Lawal- C03"/>
    <x v="1"/>
    <s v="20,000.00"/>
    <s v="-"/>
    <n v="20058.54"/>
    <n v="20000"/>
    <n v="0"/>
    <x v="0"/>
    <x v="0"/>
    <x v="0"/>
    <x v="0"/>
    <x v="0"/>
    <x v="0"/>
  </r>
  <r>
    <d v="2025-05-05T00:00:00"/>
    <x v="3"/>
    <s v="COMMISSION TRF//FRM KAFILAT AYOMIDE LAWAL_x000a_TO Kafilat Ayomide Lawal- C03"/>
    <x v="1"/>
    <s v="25.00"/>
    <s v="-"/>
    <n v="20033.54"/>
    <n v="25"/>
    <n v="0"/>
    <x v="0"/>
    <x v="0"/>
    <x v="0"/>
    <x v="0"/>
    <x v="0"/>
    <x v="0"/>
  </r>
  <r>
    <d v="2025-05-05T00:00:00"/>
    <x v="3"/>
    <s v="VAT TRF//FRM KAFILAT AYOMIDE LAWAL TO Kafilat_x000a_Ayomide Lawal- C03"/>
    <x v="1"/>
    <s v="1.88"/>
    <s v="-"/>
    <n v="20031.66"/>
    <n v="1.88"/>
    <n v="0"/>
    <x v="0"/>
    <x v="0"/>
    <x v="0"/>
    <x v="0"/>
    <x v="0"/>
    <x v="0"/>
  </r>
  <r>
    <d v="2025-05-09T00:00:00"/>
    <x v="5"/>
    <s v="TRF//FRM KAFILAT AYOMIDE LAWAL TO Kafilat_x000a_Ayomide Lawal- C03"/>
    <x v="1"/>
    <s v="2,000.00"/>
    <s v="-"/>
    <n v="18031.66"/>
    <n v="2000"/>
    <n v="0"/>
    <x v="0"/>
    <x v="0"/>
    <x v="0"/>
    <x v="0"/>
    <x v="0"/>
    <x v="0"/>
  </r>
  <r>
    <d v="2025-05-09T00:00:00"/>
    <x v="5"/>
    <s v="COMMISSION TRF//FRM KAFILAT AYOMIDE LAWAL_x000a_TO Kafilat Ayomide Lawal- C03"/>
    <x v="1"/>
    <s v="10.00"/>
    <s v="-"/>
    <n v="18021.66"/>
    <n v="10"/>
    <n v="0"/>
    <x v="0"/>
    <x v="0"/>
    <x v="0"/>
    <x v="0"/>
    <x v="0"/>
    <x v="0"/>
  </r>
  <r>
    <d v="2025-05-09T00:00:00"/>
    <x v="5"/>
    <s v="VAT TRF//FRM KAFILAT AYOMIDE LAWAL TO Kafilat_x000a_Ayomide Lawal- C03"/>
    <x v="1"/>
    <s v="0.75"/>
    <s v="-"/>
    <n v="18020.91"/>
    <n v="0.75"/>
    <n v="0"/>
    <x v="0"/>
    <x v="0"/>
    <x v="0"/>
    <x v="0"/>
    <x v="0"/>
    <x v="0"/>
  </r>
  <r>
    <d v="2025-05-15T00:00:00"/>
    <x v="149"/>
    <s v="TRF//FRM KAFILAT AYOMIDE LAWAL TO Kafilat_x000a_Ayomide Lawal- C03"/>
    <x v="1"/>
    <s v="2,000.00"/>
    <s v="-"/>
    <n v="16020.91"/>
    <n v="2000"/>
    <n v="0"/>
    <x v="0"/>
    <x v="0"/>
    <x v="0"/>
    <x v="0"/>
    <x v="0"/>
    <x v="0"/>
  </r>
  <r>
    <d v="2025-05-15T00:00:00"/>
    <x v="149"/>
    <s v="COMMISSION TRF//FRM KAFILAT AYOMIDE LAWAL_x000a_TO Kafilat Ayomide Lawal- C03"/>
    <x v="1"/>
    <s v="10.00"/>
    <s v="-"/>
    <n v="16010.91"/>
    <n v="10"/>
    <n v="0"/>
    <x v="0"/>
    <x v="0"/>
    <x v="0"/>
    <x v="0"/>
    <x v="0"/>
    <x v="0"/>
  </r>
  <r>
    <d v="2025-05-15T00:00:00"/>
    <x v="149"/>
    <s v="VAT TRF//FRM KAFILAT AYOMIDE LAWAL TO Kafilat_x000a_Ayomide Lawal- C03"/>
    <x v="1"/>
    <s v="0.75"/>
    <s v="-"/>
    <n v="16010.16"/>
    <n v="0.75"/>
    <n v="0"/>
    <x v="0"/>
    <x v="0"/>
    <x v="0"/>
    <x v="0"/>
    <x v="0"/>
    <x v="0"/>
  </r>
  <r>
    <d v="2025-05-15T00:00:00"/>
    <x v="149"/>
    <s v="TRF//FRM KAFILAT AYOMIDE LAWAL TO Kafilat_x000a_Ayomide Lawal- C03"/>
    <x v="1"/>
    <s v="2,000.00"/>
    <s v="-"/>
    <n v="14010.16"/>
    <n v="2000"/>
    <n v="0"/>
    <x v="0"/>
    <x v="0"/>
    <x v="0"/>
    <x v="0"/>
    <x v="0"/>
    <x v="0"/>
  </r>
  <r>
    <d v="2025-05-15T00:00:00"/>
    <x v="149"/>
    <s v="COMMISSION TRF//FRM KAFILAT AYOMIDE LAWAL_x000a_TO Kafilat Ayomide Lawal- C03"/>
    <x v="1"/>
    <s v="10.00"/>
    <s v="-"/>
    <n v="14000.16"/>
    <n v="10"/>
    <n v="0"/>
    <x v="0"/>
    <x v="0"/>
    <x v="0"/>
    <x v="0"/>
    <x v="0"/>
    <x v="0"/>
  </r>
  <r>
    <d v="2025-05-15T00:00:00"/>
    <x v="149"/>
    <s v="VAT TRF//FRM KAFILAT AYOMIDE LAWAL TO Kafilat_x000a_Ayomide Lawal- C03"/>
    <x v="1"/>
    <s v="0.75"/>
    <s v="-"/>
    <n v="13999.41"/>
    <n v="0.75"/>
    <n v="0"/>
    <x v="0"/>
    <x v="0"/>
    <x v="0"/>
    <x v="0"/>
    <x v="0"/>
    <x v="0"/>
  </r>
  <r>
    <d v="2025-05-21T00:00:00"/>
    <x v="150"/>
    <s v="TRF//FRM KAFILAT AYOMIDE LAWAL TO Kafilat_x000a_Ayomide Lawal- C03"/>
    <x v="1"/>
    <s v="1,500.00"/>
    <s v="-"/>
    <n v="12499.41"/>
    <n v="1500"/>
    <n v="0"/>
    <x v="0"/>
    <x v="0"/>
    <x v="0"/>
    <x v="0"/>
    <x v="0"/>
    <x v="0"/>
  </r>
  <r>
    <d v="2025-05-21T00:00:00"/>
    <x v="150"/>
    <s v="COMMISSION TRF//FRM KAFILAT AYOMIDE LAWAL_x000a_TO Kafilat Ayomide Lawal- C03"/>
    <x v="1"/>
    <s v="10.00"/>
    <s v="-"/>
    <n v="12489.41"/>
    <n v="10"/>
    <n v="0"/>
    <x v="0"/>
    <x v="0"/>
    <x v="0"/>
    <x v="0"/>
    <x v="0"/>
    <x v="0"/>
  </r>
  <r>
    <d v="2025-05-21T00:00:00"/>
    <x v="150"/>
    <s v="VAT TRF//FRM KAFILAT AYOMIDE LAWAL TO Kafilat_x000a_Ayomide Lawal- C03"/>
    <x v="1"/>
    <s v="0.75"/>
    <s v="-"/>
    <n v="12488.66"/>
    <n v="0.75"/>
    <n v="0"/>
    <x v="0"/>
    <x v="0"/>
    <x v="0"/>
    <x v="0"/>
    <x v="0"/>
    <x v="0"/>
  </r>
  <r>
    <d v="2025-05-21T00:00:00"/>
    <x v="150"/>
    <s v="TRF//FRM KAFILAT AYOMIDE LAWAL TO Kafilat_x000a_Ayomide Lawal- C03"/>
    <x v="1"/>
    <s v="1,000.00"/>
    <s v="-"/>
    <n v="11488.66"/>
    <n v="1000"/>
    <n v="0"/>
    <x v="0"/>
    <x v="0"/>
    <x v="0"/>
    <x v="0"/>
    <x v="0"/>
    <x v="0"/>
  </r>
  <r>
    <d v="2025-05-21T00:00:00"/>
    <x v="150"/>
    <s v="COMMISSION TRF//FRM KAFILAT AYOMIDE LAWAL_x000a_TO Kafilat Ayomide Lawal- C03"/>
    <x v="1"/>
    <s v="10.00"/>
    <s v="-"/>
    <n v="11478.66"/>
    <n v="10"/>
    <n v="0"/>
    <x v="0"/>
    <x v="0"/>
    <x v="0"/>
    <x v="0"/>
    <x v="0"/>
    <x v="0"/>
  </r>
  <r>
    <d v="2025-05-21T00:00:00"/>
    <x v="150"/>
    <s v="VAT TRF//FRM KAFILAT AYOMIDE LAWAL TO Kafilat_x000a_Ayomide Lawal- C03"/>
    <x v="1"/>
    <s v="0.75"/>
    <s v="-"/>
    <n v="11477.91"/>
    <n v="0.75"/>
    <n v="0"/>
    <x v="0"/>
    <x v="0"/>
    <x v="0"/>
    <x v="0"/>
    <x v="0"/>
    <x v="0"/>
  </r>
  <r>
    <d v="2025-05-22T00:00:00"/>
    <x v="151"/>
    <s v="TRF//FRM KAFILAT AYOMIDE LAWAL TO Kafilat_x000a_Ayomide Lawal- C03"/>
    <x v="1"/>
    <s v="1,400.00"/>
    <s v="-"/>
    <n v="10077.91"/>
    <n v="1400"/>
    <n v="0"/>
    <x v="0"/>
    <x v="0"/>
    <x v="0"/>
    <x v="0"/>
    <x v="0"/>
    <x v="0"/>
  </r>
  <r>
    <d v="2025-05-22T00:00:00"/>
    <x v="151"/>
    <s v="COMMISSION TRF//FRM KAFILAT AYOMIDE LAWAL_x000a_TO Kafilat Ayomide Lawal- C03"/>
    <x v="1"/>
    <s v="10.00"/>
    <s v="-"/>
    <n v="10067.91"/>
    <n v="10"/>
    <n v="0"/>
    <x v="0"/>
    <x v="0"/>
    <x v="0"/>
    <x v="0"/>
    <x v="0"/>
    <x v="0"/>
  </r>
  <r>
    <d v="2025-05-22T00:00:00"/>
    <x v="151"/>
    <s v="VAT TRF//FRM KAFILAT AYOMIDE LAWAL TO Kafilat_x000a_Ayomide Lawal- C03"/>
    <x v="1"/>
    <s v="0.75"/>
    <s v="-"/>
    <n v="10067.16"/>
    <n v="0.75"/>
    <n v="0"/>
    <x v="0"/>
    <x v="0"/>
    <x v="0"/>
    <x v="0"/>
    <x v="0"/>
    <x v="0"/>
  </r>
  <r>
    <d v="2025-05-25T00:00:00"/>
    <x v="152"/>
    <s v="TRF//FRM KAFILAT AYOMIDE LAWAL TO Kafilat_x000a_Ayomide Lawal- C03"/>
    <x v="1"/>
    <s v="2,000.00"/>
    <s v="-"/>
    <n v="8067.16"/>
    <n v="2000"/>
    <n v="0"/>
    <x v="0"/>
    <x v="0"/>
    <x v="0"/>
    <x v="0"/>
    <x v="0"/>
    <x v="0"/>
  </r>
  <r>
    <d v="2025-05-25T00:00:00"/>
    <x v="152"/>
    <s v="COMMISSION TRF//FRM KAFILAT AYOMIDE LAWAL_x000a_TO Kafilat Ayomide Lawal- C03"/>
    <x v="1"/>
    <s v="10.00"/>
    <s v="-"/>
    <n v="8057.16"/>
    <n v="10"/>
    <n v="0"/>
    <x v="0"/>
    <x v="0"/>
    <x v="0"/>
    <x v="0"/>
    <x v="0"/>
    <x v="0"/>
  </r>
  <r>
    <d v="2025-05-25T00:00:00"/>
    <x v="152"/>
    <s v="VAT TRF//FRM KAFILAT AYOMIDE LAWAL TO Kafilat_x000a_Ayomide Lawal- C03"/>
    <x v="1"/>
    <s v="0.75"/>
    <s v="-"/>
    <n v="8056.41"/>
    <n v="0.75"/>
    <n v="0"/>
    <x v="0"/>
    <x v="0"/>
    <x v="0"/>
    <x v="0"/>
    <x v="0"/>
    <x v="0"/>
  </r>
  <r>
    <d v="2025-05-26T00:00:00"/>
    <x v="7"/>
    <s v="TRF//FRM KAFILAT AYOMIDE LAWAL TO Kafilat_x000a_Ayomide Lawal- C03"/>
    <x v="1"/>
    <s v="4,000.00"/>
    <s v="-"/>
    <n v="4056.41"/>
    <n v="4000"/>
    <n v="0"/>
    <x v="0"/>
    <x v="0"/>
    <x v="0"/>
    <x v="0"/>
    <x v="0"/>
    <x v="0"/>
  </r>
  <r>
    <d v="2025-05-26T00:00:00"/>
    <x v="7"/>
    <s v="COMMISSION TRF//FRM KAFILAT AYOMIDE LAWAL_x000a_TO Kafilat Ayomide Lawal- C03"/>
    <x v="1"/>
    <s v="10.00"/>
    <s v="-"/>
    <n v="4046.41"/>
    <n v="10"/>
    <n v="0"/>
    <x v="0"/>
    <x v="0"/>
    <x v="0"/>
    <x v="0"/>
    <x v="0"/>
    <x v="0"/>
  </r>
  <r>
    <d v="2025-05-26T00:00:00"/>
    <x v="7"/>
    <s v="VAT TRF//FRM KAFILAT AYOMIDE LAWAL TO Kafilat_x000a_Ayomide Lawal- C03"/>
    <x v="1"/>
    <s v="0.75"/>
    <s v="-"/>
    <n v="4045.66"/>
    <n v="0.75"/>
    <n v="0"/>
    <x v="0"/>
    <x v="0"/>
    <x v="0"/>
    <x v="0"/>
    <x v="0"/>
    <x v="0"/>
  </r>
  <r>
    <d v="2025-05-26T00:00:00"/>
    <x v="7"/>
    <s v="TRF/1/FRM KAFILAT AYOMIDE LAWAL TO Kafilat_x000a_Ayomide Lawal- C03"/>
    <x v="1"/>
    <s v="1,000.00"/>
    <s v="-"/>
    <n v="3045.66"/>
    <n v="1000"/>
    <n v="0"/>
    <x v="0"/>
    <x v="0"/>
    <x v="0"/>
    <x v="0"/>
    <x v="0"/>
    <x v="0"/>
  </r>
  <r>
    <d v="2025-05-26T00:00:00"/>
    <x v="7"/>
    <s v="COMMISSION TRF/1/FRM KAFILAT AYOMIDE LAWAL_x000a_TO Kafilat Ayomide Lawal- C03"/>
    <x v="1"/>
    <s v="10.00"/>
    <s v="-"/>
    <n v="3035.66"/>
    <n v="10"/>
    <n v="0"/>
    <x v="0"/>
    <x v="0"/>
    <x v="0"/>
    <x v="0"/>
    <x v="0"/>
    <x v="0"/>
  </r>
  <r>
    <d v="2025-05-26T00:00:00"/>
    <x v="7"/>
    <s v="VAT TRF/1/FRM KAFILAT AYOMIDE LAWAL TO Kafilat_x000a_Ayomide Lawal- C03"/>
    <x v="1"/>
    <s v="0.75"/>
    <s v="-"/>
    <n v="3034.91"/>
    <n v="0.75"/>
    <n v="0"/>
    <x v="0"/>
    <x v="0"/>
    <x v="0"/>
    <x v="0"/>
    <x v="0"/>
    <x v="0"/>
  </r>
  <r>
    <d v="2025-05-29T00:00:00"/>
    <x v="153"/>
    <s v="R-1264218803/FGN:_x000a_FEDER:TBH:CBN:1264447338-:1264447487 - FGN"/>
    <x v="7"/>
    <s v="-"/>
    <s v="3,600.00"/>
    <n v="6634.91"/>
    <n v="0"/>
    <n v="3600"/>
    <x v="1"/>
    <x v="0"/>
    <x v="0"/>
    <x v="0"/>
    <x v="0"/>
    <x v="0"/>
  </r>
  <r>
    <d v="2025-05-29T00:00:00"/>
    <x v="153"/>
    <s v="R-1264431801/FGN:_x000a_FEDER:NYSCOYMAY25NRA:CBN:1264447338-:12644"/>
    <x v="7"/>
    <s v="-"/>
    <s v="77,000.00"/>
    <n v="83634.91"/>
    <n v="0"/>
    <n v="77000"/>
    <x v="1"/>
    <x v="0"/>
    <x v="0"/>
    <x v="0"/>
    <x v="0"/>
    <x v="0"/>
  </r>
  <r>
    <d v="2025-05-29T00:00:00"/>
    <x v="153"/>
    <s v="TRF//FRM KAFILAT AYOMIDE LAWAL TO Kafilat_x000a_Ayomide Lawal- C03"/>
    <x v="1"/>
    <s v="20,000.00"/>
    <s v="-"/>
    <n v="63634.91"/>
    <n v="20000"/>
    <n v="0"/>
    <x v="0"/>
    <x v="0"/>
    <x v="0"/>
    <x v="0"/>
    <x v="0"/>
    <x v="0"/>
  </r>
  <r>
    <d v="2025-05-29T00:00:00"/>
    <x v="153"/>
    <s v="COMMISSION TRF//FRM KAFILAT AYOMIDE LAWAL_x000a_TO Kafilat Ayomide Lawal- C03"/>
    <x v="1"/>
    <s v="25.00"/>
    <s v="-"/>
    <n v="63609.91"/>
    <n v="25"/>
    <n v="0"/>
    <x v="0"/>
    <x v="0"/>
    <x v="0"/>
    <x v="0"/>
    <x v="0"/>
    <x v="0"/>
  </r>
  <r>
    <d v="2025-05-29T00:00:00"/>
    <x v="153"/>
    <s v="VAT TRF//FRM KAFILAT AYOMIDE LAWAL TO Kafilat_x000a_Ayomide Lawal- C03"/>
    <x v="1"/>
    <s v="1.88"/>
    <s v="-"/>
    <n v="63608.03"/>
    <n v="1.88"/>
    <n v="0"/>
    <x v="0"/>
    <x v="0"/>
    <x v="0"/>
    <x v="0"/>
    <x v="0"/>
    <x v="0"/>
  </r>
  <r>
    <d v="2025-05-29T00:00:00"/>
    <x v="153"/>
    <s v="R-1264091336/FGN:_x000a_FEDER:NYSCOYJUNE25NRA:CBN:1264447338-:1264"/>
    <x v="7"/>
    <s v="-"/>
    <s v="77,000.00"/>
    <n v="140608.03"/>
    <n v="0"/>
    <n v="77000"/>
    <x v="1"/>
    <x v="0"/>
    <x v="0"/>
    <x v="0"/>
    <x v="0"/>
    <x v="0"/>
  </r>
  <r>
    <d v="2025-05-30T00:00:00"/>
    <x v="153"/>
    <s v="TRF//FRM KAFILAT AYOMIDE LAWAL TO Kafilat_x000a_Ayomide Lawal- C03"/>
    <x v="1"/>
    <s v="20,000.00"/>
    <s v="-"/>
    <n v="120608.03"/>
    <n v="20000"/>
    <n v="0"/>
    <x v="0"/>
    <x v="1"/>
    <x v="0"/>
    <x v="0"/>
    <x v="0"/>
    <x v="0"/>
  </r>
  <r>
    <d v="2025-05-30T00:00:00"/>
    <x v="153"/>
    <s v="COMMISSION TRF//FRM KAFILAT AYOMIDE LAWAL_x000a_TO Kafilat Ayomide Lawal- C03"/>
    <x v="1"/>
    <s v="25.00"/>
    <s v="-"/>
    <n v="120583.03"/>
    <n v="25"/>
    <n v="0"/>
    <x v="0"/>
    <x v="1"/>
    <x v="0"/>
    <x v="0"/>
    <x v="0"/>
    <x v="0"/>
  </r>
  <r>
    <d v="2025-05-30T00:00:00"/>
    <x v="153"/>
    <s v="VAT TRF//FRM KAFILAT AYOMIDE LAWAL TO Kafilat_x000a_Ayomide Lawal- C03"/>
    <x v="1"/>
    <s v="1.88"/>
    <s v="-"/>
    <n v="120581.15"/>
    <n v="1.88"/>
    <n v="0"/>
    <x v="0"/>
    <x v="1"/>
    <x v="0"/>
    <x v="0"/>
    <x v="0"/>
    <x v="0"/>
  </r>
  <r>
    <d v="2025-05-30T00:00:00"/>
    <x v="9"/>
    <s v="SMS Alert Fee-29/04-28/05/2025 + VAT"/>
    <x v="4"/>
    <s v="103.20"/>
    <s v="-"/>
    <n v="120477.95"/>
    <n v="103.2"/>
    <n v="0"/>
    <x v="0"/>
    <x v="0"/>
    <x v="0"/>
    <x v="0"/>
    <x v="0"/>
    <x v="0"/>
  </r>
  <r>
    <d v="2025-05-31T00:00:00"/>
    <x v="154"/>
    <s v="TRF//FRM KAFILAT AYOMIDE LAWAL TO Kafilat_x000a_Ayomide Lawal- C03"/>
    <x v="1"/>
    <s v="20,000.00"/>
    <s v="-"/>
    <n v="100477.95"/>
    <n v="20000"/>
    <n v="0"/>
    <x v="0"/>
    <x v="0"/>
    <x v="0"/>
    <x v="0"/>
    <x v="0"/>
    <x v="0"/>
  </r>
  <r>
    <d v="2025-05-31T00:00:00"/>
    <x v="154"/>
    <s v="COMMISSION TRF//FRM KAFILAT AYOMIDE LAWAL_x000a_TO Kafilat Ayomide Lawal- C03"/>
    <x v="1"/>
    <s v="25.00"/>
    <s v="-"/>
    <n v="100452.95"/>
    <n v="25"/>
    <n v="0"/>
    <x v="0"/>
    <x v="0"/>
    <x v="0"/>
    <x v="0"/>
    <x v="0"/>
    <x v="0"/>
  </r>
  <r>
    <d v="2025-05-31T00:00:00"/>
    <x v="154"/>
    <s v="VAT TRF//FRM KAFILAT AYOMIDE LAWAL TO Kafilat_x000a_Ayomide Lawal- C03"/>
    <x v="1"/>
    <s v="1.88"/>
    <s v="-"/>
    <n v="100451.07"/>
    <n v="1.88"/>
    <n v="0"/>
    <x v="0"/>
    <x v="0"/>
    <x v="0"/>
    <x v="0"/>
    <x v="0"/>
    <x v="0"/>
  </r>
  <r>
    <d v="2025-06-02T00:00:00"/>
    <x v="155"/>
    <s v="TRF//FRM KAFILAT AYOMIDE LAWAL TO Kafilat_x000a_Ayomide Lawal- C03"/>
    <x v="1"/>
    <s v="10,000.00"/>
    <s v="-"/>
    <n v="90451.07"/>
    <n v="10000"/>
    <n v="0"/>
    <x v="0"/>
    <x v="0"/>
    <x v="1"/>
    <x v="0"/>
    <x v="1"/>
    <x v="0"/>
  </r>
  <r>
    <d v="2025-06-02T00:00:00"/>
    <x v="155"/>
    <s v="COMMISSION TRF//FRM KAFILAT AYOMIDE LAWAL_x000a_TO Kafilat Ayomide Lawal- C03"/>
    <x v="1"/>
    <s v="25.00"/>
    <s v="-"/>
    <n v="90426.07"/>
    <n v="25"/>
    <n v="0"/>
    <x v="0"/>
    <x v="0"/>
    <x v="1"/>
    <x v="0"/>
    <x v="1"/>
    <x v="0"/>
  </r>
  <r>
    <d v="2025-06-02T00:00:00"/>
    <x v="155"/>
    <s v="VAT TRF//FRM KAFILAT AYOMIDE LAWAL TO Kafilat_x000a_Ayomide Lawal- C03"/>
    <x v="1"/>
    <s v="1.88"/>
    <s v="-"/>
    <n v="90424.19"/>
    <n v="1.88"/>
    <n v="0"/>
    <x v="0"/>
    <x v="0"/>
    <x v="1"/>
    <x v="0"/>
    <x v="1"/>
    <x v="0"/>
  </r>
  <r>
    <d v="2025-06-03T00:00:00"/>
    <x v="156"/>
    <s v="R-1266757156/NYSC_x000a_IBADA:PERSONNEL:CBN:1267333257-:1267333452"/>
    <x v="7"/>
    <s v="-"/>
    <s v="44,000.00"/>
    <n v="134424.19"/>
    <n v="0"/>
    <n v="44000"/>
    <x v="1"/>
    <x v="0"/>
    <x v="1"/>
    <x v="0"/>
    <x v="1"/>
    <x v="0"/>
  </r>
  <r>
    <d v="2025-06-05T00:00:00"/>
    <x v="157"/>
    <s v="TRF//FRM KAFILAT AYOMIDE LAWAL TO Kafilat_x000a_Ayomide Lawal- C03"/>
    <x v="1"/>
    <s v="10,000.00"/>
    <s v="-"/>
    <n v="124424.19"/>
    <n v="10000"/>
    <n v="0"/>
    <x v="0"/>
    <x v="0"/>
    <x v="1"/>
    <x v="0"/>
    <x v="1"/>
    <x v="0"/>
  </r>
  <r>
    <d v="2025-06-05T00:00:00"/>
    <x v="157"/>
    <s v="COMMISSION TRF//FRM KAFILAT AYOMIDE LAWAL_x000a_TO Kafilat Ayomide Lawal- C03"/>
    <x v="1"/>
    <s v="25.00"/>
    <s v="-"/>
    <n v="124399.19"/>
    <n v="25"/>
    <n v="0"/>
    <x v="0"/>
    <x v="0"/>
    <x v="1"/>
    <x v="0"/>
    <x v="1"/>
    <x v="0"/>
  </r>
  <r>
    <d v="2025-06-05T00:00:00"/>
    <x v="157"/>
    <s v="VAT TRF//FRM KAFILAT AYOMIDE LAWAL TO Kafilat_x000a_Ayomide Lawal- C03"/>
    <x v="1"/>
    <s v="1.88"/>
    <s v="-"/>
    <n v="124397.31"/>
    <n v="1.88"/>
    <n v="0"/>
    <x v="0"/>
    <x v="0"/>
    <x v="1"/>
    <x v="0"/>
    <x v="1"/>
    <x v="0"/>
  </r>
  <r>
    <d v="2025-06-06T00:00:00"/>
    <x v="158"/>
    <s v="TRF//FRM KAFILAT AYOMIDE LAWAL TO Kafilat_x000a_Ayomide Lawal- C03"/>
    <x v="1"/>
    <s v="6,000.00"/>
    <s v="-"/>
    <n v="118397.31"/>
    <n v="6000"/>
    <n v="0"/>
    <x v="0"/>
    <x v="0"/>
    <x v="1"/>
    <x v="0"/>
    <x v="1"/>
    <x v="0"/>
  </r>
  <r>
    <d v="2025-06-06T00:00:00"/>
    <x v="158"/>
    <s v="COMMISSION TRF//FRM KAFILAT AYOMIDE LAWAL_x000a_TO Kafilat Ayomide Lawal- C03"/>
    <x v="1"/>
    <s v="25.00"/>
    <s v="-"/>
    <n v="118372.31"/>
    <n v="25"/>
    <n v="0"/>
    <x v="0"/>
    <x v="0"/>
    <x v="1"/>
    <x v="0"/>
    <x v="1"/>
    <x v="0"/>
  </r>
  <r>
    <d v="2025-06-06T00:00:00"/>
    <x v="158"/>
    <s v="VAT TRF//FRM KAFILAT AYOMIDE LAWAL TO Kafilat_x000a_Ayomide Lawal- C03"/>
    <x v="1"/>
    <s v="1.88"/>
    <s v="-"/>
    <n v="118370.43"/>
    <n v="1.88"/>
    <n v="0"/>
    <x v="0"/>
    <x v="0"/>
    <x v="1"/>
    <x v="0"/>
    <x v="1"/>
    <x v="0"/>
  </r>
  <r>
    <d v="2025-06-12T00:00:00"/>
    <x v="12"/>
    <s v="TRF//FRM KAFILAT AYOMIDE LAWAL TO Kafilat_x000a_Ayomide Lawal- C03"/>
    <x v="1"/>
    <s v="1,000.00"/>
    <s v="-"/>
    <n v="117370.43"/>
    <n v="1000"/>
    <n v="0"/>
    <x v="0"/>
    <x v="0"/>
    <x v="1"/>
    <x v="0"/>
    <x v="1"/>
    <x v="0"/>
  </r>
  <r>
    <d v="2025-06-12T00:00:00"/>
    <x v="12"/>
    <s v="COMMISSION TRF//FRM KAFILAT AYOMIDE LAWAL_x000a_TO Kafilat Ayomide Lawal- C03"/>
    <x v="1"/>
    <s v="10.00"/>
    <s v="-"/>
    <n v="117360.43"/>
    <n v="10"/>
    <n v="0"/>
    <x v="0"/>
    <x v="0"/>
    <x v="1"/>
    <x v="0"/>
    <x v="1"/>
    <x v="0"/>
  </r>
  <r>
    <d v="2025-06-12T00:00:00"/>
    <x v="12"/>
    <s v="VAT TRF//FRM KAFILAT AYOMIDE LAWAL TO Kafilat_x000a_Ayomide Lawal- C03"/>
    <x v="1"/>
    <s v="0.75"/>
    <s v="-"/>
    <n v="117359.67999999999"/>
    <n v="0.75"/>
    <n v="0"/>
    <x v="0"/>
    <x v="0"/>
    <x v="1"/>
    <x v="0"/>
    <x v="1"/>
    <x v="0"/>
  </r>
  <r>
    <d v="2025-06-22T00:00:00"/>
    <x v="159"/>
    <s v="Paystack/Transfer from PiggyVestPiggyVest"/>
    <x v="2"/>
    <s v="-"/>
    <s v="313,145.00"/>
    <n v="430504.69"/>
    <n v="0"/>
    <n v="313145"/>
    <x v="1"/>
    <x v="0"/>
    <x v="1"/>
    <x v="0"/>
    <x v="1"/>
    <x v="0"/>
  </r>
  <r>
    <d v="2025-06-30T00:00:00"/>
    <x v="13"/>
    <s v="SMS Alert Fee-29/05-28/06/2025 + VAT"/>
    <x v="4"/>
    <s v="77.40"/>
    <s v="-"/>
    <n v="430427.28"/>
    <n v="77.400000000000006"/>
    <n v="0"/>
    <x v="0"/>
    <x v="0"/>
    <x v="1"/>
    <x v="0"/>
    <x v="1"/>
    <x v="0"/>
  </r>
  <r>
    <d v="2025-06-30T00:00:00"/>
    <x v="14"/>
    <s v="CREDIT INTEREST CAPITALIZATION"/>
    <x v="5"/>
    <s v="-"/>
    <s v="1,433.56"/>
    <n v="431860.84"/>
    <n v="0"/>
    <n v="1433.56"/>
    <x v="1"/>
    <x v="2"/>
    <x v="1"/>
    <x v="0"/>
    <x v="2"/>
    <x v="0"/>
  </r>
  <r>
    <d v="2025-06-30T00:00:00"/>
    <x v="14"/>
    <s v="WHT ON CREDIT INTEREST"/>
    <x v="5"/>
    <s v="143.36"/>
    <s v="-"/>
    <n v="431717.47"/>
    <n v="143.36000000000001"/>
    <n v="0"/>
    <x v="0"/>
    <x v="2"/>
    <x v="1"/>
    <x v="0"/>
    <x v="2"/>
    <x v="0"/>
  </r>
  <r>
    <d v="2025-07-10T00:00:00"/>
    <x v="160"/>
    <s v="TRF//FRM KAFILAT AYOMIDE LAWAL TO Kafilat_x000a_Ayomide Lawal- C03"/>
    <x v="1"/>
    <s v="1,500.00"/>
    <s v="-"/>
    <n v="430217.47"/>
    <n v="1500"/>
    <n v="0"/>
    <x v="0"/>
    <x v="0"/>
    <x v="2"/>
    <x v="0"/>
    <x v="2"/>
    <x v="0"/>
  </r>
  <r>
    <d v="2025-07-10T00:00:00"/>
    <x v="160"/>
    <s v="COMMISSION TRF//FRM KAFILAT AYOMIDE LAWAL_x000a_TO Kafilat Ayomide Lawal- C03"/>
    <x v="1"/>
    <s v="10.00"/>
    <s v="-"/>
    <n v="430207.47"/>
    <n v="10"/>
    <n v="0"/>
    <x v="0"/>
    <x v="0"/>
    <x v="2"/>
    <x v="0"/>
    <x v="2"/>
    <x v="0"/>
  </r>
  <r>
    <d v="2025-07-10T00:00:00"/>
    <x v="160"/>
    <s v="VAT TRF//FRM KAFILAT AYOMIDE LAWAL TO Kafilat_x000a_Ayomide Lawal- C03"/>
    <x v="1"/>
    <s v="0.75"/>
    <s v="-"/>
    <n v="430206.71999999997"/>
    <n v="0.75"/>
    <n v="0"/>
    <x v="0"/>
    <x v="0"/>
    <x v="2"/>
    <x v="0"/>
    <x v="2"/>
    <x v="0"/>
  </r>
  <r>
    <d v="2025-07-11T00:00:00"/>
    <x v="18"/>
    <s v="TRF//FRM KAFILAT AYOMIDE LAWAL TO KAFILAT_x000a_AYOMIDE LAWAL"/>
    <x v="1"/>
    <s v="30,000.00"/>
    <s v="-"/>
    <n v="400206.72"/>
    <n v="30000"/>
    <n v="0"/>
    <x v="0"/>
    <x v="0"/>
    <x v="2"/>
    <x v="0"/>
    <x v="2"/>
    <x v="0"/>
  </r>
  <r>
    <d v="2025-07-17T00:00:00"/>
    <x v="22"/>
    <s v="3RD QUARTER 2025 CARD MAINT FEE-VISA/VAT"/>
    <x v="4"/>
    <s v="53.75"/>
    <s v="-"/>
    <n v="400152.97"/>
    <n v="53.75"/>
    <n v="0"/>
    <x v="0"/>
    <x v="0"/>
    <x v="2"/>
    <x v="0"/>
    <x v="2"/>
    <x v="0"/>
  </r>
  <r>
    <d v="2025-07-21T00:00:00"/>
    <x v="25"/>
    <s v="TRF//FRM KAFILAT AYOMIDE LAWAL TO_x000a_EKUNTAKORO MUFTAU- 076"/>
    <x v="1"/>
    <s v="125,000.00"/>
    <s v="-"/>
    <n v="275152.96999999997"/>
    <n v="125000"/>
    <n v="0"/>
    <x v="0"/>
    <x v="0"/>
    <x v="2"/>
    <x v="0"/>
    <x v="2"/>
    <x v="0"/>
  </r>
  <r>
    <d v="2025-07-21T00:00:00"/>
    <x v="25"/>
    <s v="COMMISSION TRF//FRM KAFILAT AYOMIDE LAWAL_x000a_TO EKUNTAKORO MUFTAU- 076"/>
    <x v="1"/>
    <s v="50.00"/>
    <s v="-"/>
    <n v="275102.96999999997"/>
    <n v="50"/>
    <n v="0"/>
    <x v="0"/>
    <x v="0"/>
    <x v="2"/>
    <x v="0"/>
    <x v="2"/>
    <x v="0"/>
  </r>
  <r>
    <d v="2025-07-21T00:00:00"/>
    <x v="25"/>
    <s v="VAT TRF//FRM KAFILAT AYOMIDE LAWAL TO_x000a_EKUNTAKORO MUFTAU- 076"/>
    <x v="1"/>
    <s v="3.75"/>
    <s v="-"/>
    <n v="275099.21999999997"/>
    <n v="3.75"/>
    <n v="0"/>
    <x v="0"/>
    <x v="0"/>
    <x v="2"/>
    <x v="0"/>
    <x v="2"/>
    <x v="0"/>
  </r>
  <r>
    <d v="2025-07-23T00:00:00"/>
    <x v="26"/>
    <s v="TRF/null/TO SODIQ OPEYEMI LAWAL FROM KAFILAT_x000a_AYOMIDE LAWAL"/>
    <x v="1"/>
    <s v="140,000.00"/>
    <s v="-"/>
    <n v="135099.23000000001"/>
    <n v="140000"/>
    <n v="0"/>
    <x v="0"/>
    <x v="0"/>
    <x v="2"/>
    <x v="0"/>
    <x v="2"/>
    <x v="0"/>
  </r>
  <r>
    <d v="2025-07-23T00:00:00"/>
    <x v="26"/>
    <s v="TRF/null/TO SODIQ OPEYEMI LAWAL FROM KAFILAT_x000a_AYOMIDE LAWAL"/>
    <x v="1"/>
    <s v="8,000.00"/>
    <s v="-"/>
    <n v="127099.23"/>
    <n v="8000"/>
    <n v="0"/>
    <x v="0"/>
    <x v="0"/>
    <x v="2"/>
    <x v="0"/>
    <x v="2"/>
    <x v="0"/>
  </r>
  <r>
    <d v="2025-07-24T00:00:00"/>
    <x v="161"/>
    <s v="Transfer from TOYIBAT ADEJOKE AJISEGIRI"/>
    <x v="2"/>
    <s v="-"/>
    <s v="200,000.00"/>
    <n v="327099.21999999997"/>
    <n v="0"/>
    <n v="200000"/>
    <x v="1"/>
    <x v="0"/>
    <x v="2"/>
    <x v="0"/>
    <x v="2"/>
    <x v="0"/>
  </r>
  <r>
    <d v="2025-07-25T00:00:00"/>
    <x v="27"/>
    <s v="OLUWATOYIN KEMI_x000a_ABIOLA/obere/AT68_TRF2MPT9v6dt19486965999279_x000a_96416"/>
    <x v="2"/>
    <s v="-"/>
    <s v="600,000.00"/>
    <n v="927099.25"/>
    <n v="0"/>
    <n v="600000"/>
    <x v="1"/>
    <x v="0"/>
    <x v="2"/>
    <x v="0"/>
    <x v="2"/>
    <x v="0"/>
  </r>
  <r>
    <d v="2025-07-27T00:00:00"/>
    <x v="28"/>
    <s v="ACCOUNT OPENING POSTAGE STAMP"/>
    <x v="5"/>
    <s v="50.00"/>
    <s v="-"/>
    <n v="927049.25"/>
    <n v="50"/>
    <n v="0"/>
    <x v="0"/>
    <x v="1"/>
    <x v="2"/>
    <x v="0"/>
    <x v="2"/>
    <x v="0"/>
  </r>
  <r>
    <d v="2025-07-28T00:00:00"/>
    <x v="162"/>
    <s v="TRF//FRM KAFILAT AYOMIDE LAWAL TO_x000a_OLUWATOYIN SAMUEL OMOTOSO- C03"/>
    <x v="1"/>
    <s v="900,000.00"/>
    <s v="-"/>
    <n v="27049.23"/>
    <n v="900000"/>
    <n v="0"/>
    <x v="0"/>
    <x v="0"/>
    <x v="2"/>
    <x v="0"/>
    <x v="2"/>
    <x v="0"/>
  </r>
  <r>
    <d v="2025-07-28T00:00:00"/>
    <x v="162"/>
    <s v="COMMISSION TRF//FRM KAFILAT AYOMIDE LAWAL_x000a_TO OLUWATOYIN SAMUEL OMOTOSO- C03"/>
    <x v="1"/>
    <s v="50.00"/>
    <s v="-"/>
    <n v="26999.23"/>
    <n v="50"/>
    <n v="0"/>
    <x v="0"/>
    <x v="0"/>
    <x v="2"/>
    <x v="0"/>
    <x v="2"/>
    <x v="0"/>
  </r>
  <r>
    <d v="2025-07-28T00:00:00"/>
    <x v="162"/>
    <s v="VAT TRF//FRM KAFILAT AYOMIDE LAWAL TO_x000a_OLUWATOYIN SAMUEL OMOTOSO- C03"/>
    <x v="1"/>
    <s v="3.75"/>
    <s v="-"/>
    <n v="26995.48"/>
    <n v="3.75"/>
    <n v="0"/>
    <x v="0"/>
    <x v="0"/>
    <x v="2"/>
    <x v="0"/>
    <x v="2"/>
    <x v="0"/>
  </r>
  <r>
    <d v="2025-07-28T00:00:00"/>
    <x v="162"/>
    <s v="TRF//FRM KAFILAT AYOMIDE LAWAL TO Kafilat_x000a_Ayomide Lawal- C03"/>
    <x v="1"/>
    <s v="6,000.00"/>
    <s v="-"/>
    <n v="20995.48"/>
    <n v="6000"/>
    <n v="0"/>
    <x v="0"/>
    <x v="0"/>
    <x v="2"/>
    <x v="0"/>
    <x v="2"/>
    <x v="0"/>
  </r>
  <r>
    <d v="2025-07-28T00:00:00"/>
    <x v="162"/>
    <s v="COMMISSION TRF//FRM KAFILAT AYOMIDE LAWAL_x000a_TO Kafilat Ayomide Lawal- C03"/>
    <x v="1"/>
    <s v="25.00"/>
    <s v="-"/>
    <n v="20970.48"/>
    <n v="25"/>
    <n v="0"/>
    <x v="0"/>
    <x v="0"/>
    <x v="2"/>
    <x v="0"/>
    <x v="2"/>
    <x v="0"/>
  </r>
  <r>
    <d v="2025-07-28T00:00:00"/>
    <x v="162"/>
    <s v="VAT TRF//FRM KAFILAT AYOMIDE LAWAL TO Kafilat_x000a_Ayomide Lawal- C03"/>
    <x v="1"/>
    <s v="1.88"/>
    <s v="-"/>
    <n v="20968.599999999999"/>
    <n v="1.88"/>
    <n v="0"/>
    <x v="0"/>
    <x v="0"/>
    <x v="2"/>
    <x v="0"/>
    <x v="2"/>
    <x v="0"/>
  </r>
  <r>
    <d v="2025-07-28T00:00:00"/>
    <x v="162"/>
    <s v="ADELEKE SAMUEL ADEYEMI/Transfer from ADELEKE_x000a_SAMUEL ADEYEMI"/>
    <x v="2"/>
    <s v="-"/>
    <s v="576,000.00"/>
    <n v="596968.62"/>
    <n v="0"/>
    <n v="576000"/>
    <x v="1"/>
    <x v="0"/>
    <x v="2"/>
    <x v="0"/>
    <x v="2"/>
    <x v="0"/>
  </r>
  <r>
    <d v="2025-07-29T00:00:00"/>
    <x v="29"/>
    <s v="TRF//FRM KAFILAT AYOMIDE LAWAL TO Kafilat_x000a_Ayomide Lawal- C03"/>
    <x v="1"/>
    <s v="900.00"/>
    <s v="-"/>
    <n v="596068.62"/>
    <n v="900"/>
    <n v="0"/>
    <x v="0"/>
    <x v="0"/>
    <x v="2"/>
    <x v="0"/>
    <x v="2"/>
    <x v="0"/>
  </r>
  <r>
    <d v="2025-07-29T00:00:00"/>
    <x v="29"/>
    <s v="COMMISSION TRF//FRM KAFILAT AYOMIDE LAWAL_x000a_TO Kafilat Ayomide Lawal- C03"/>
    <x v="1"/>
    <s v="10.00"/>
    <s v="-"/>
    <n v="596058.62"/>
    <n v="10"/>
    <n v="0"/>
    <x v="0"/>
    <x v="0"/>
    <x v="2"/>
    <x v="0"/>
    <x v="2"/>
    <x v="0"/>
  </r>
  <r>
    <d v="2025-07-29T00:00:00"/>
    <x v="29"/>
    <s v="VAT TRF//FRM KAFILAT AYOMIDE LAWAL TO Kafilat_x000a_Ayomide Lawal- C03"/>
    <x v="1"/>
    <s v="0.75"/>
    <s v="-"/>
    <n v="596057.88"/>
    <n v="0.75"/>
    <n v="0"/>
    <x v="0"/>
    <x v="0"/>
    <x v="2"/>
    <x v="0"/>
    <x v="2"/>
    <x v="0"/>
  </r>
  <r>
    <d v="2025-07-29T00:00:00"/>
    <x v="29"/>
    <s v="Transfer from TOYIBAT ADEJOKE AJISEGIRI"/>
    <x v="2"/>
    <s v="-"/>
    <s v="12,000.00"/>
    <n v="608057.88"/>
    <n v="0"/>
    <n v="12000"/>
    <x v="1"/>
    <x v="0"/>
    <x v="2"/>
    <x v="0"/>
    <x v="2"/>
    <x v="0"/>
  </r>
  <r>
    <d v="2025-07-29T00:00:00"/>
    <x v="29"/>
    <s v="TRF//FRM KAFILAT AYOMIDE LAWAL TO Kafilat_x000a_Ayomide Lawal- C03"/>
    <x v="1"/>
    <s v="1,000.00"/>
    <s v="-"/>
    <n v="607057.88"/>
    <n v="1000"/>
    <n v="0"/>
    <x v="0"/>
    <x v="0"/>
    <x v="2"/>
    <x v="0"/>
    <x v="2"/>
    <x v="0"/>
  </r>
  <r>
    <d v="2025-07-29T00:00:00"/>
    <x v="29"/>
    <s v="COMMISSION TRF//FRM KAFILAT AYOMIDE LAWAL_x000a_TO Kafilat Ayomide Lawal- C03"/>
    <x v="1"/>
    <s v="10.00"/>
    <s v="-"/>
    <n v="607047.88"/>
    <n v="10"/>
    <n v="0"/>
    <x v="0"/>
    <x v="0"/>
    <x v="2"/>
    <x v="0"/>
    <x v="2"/>
    <x v="0"/>
  </r>
  <r>
    <d v="2025-07-29T00:00:00"/>
    <x v="29"/>
    <s v="VAT TRF//FRM KAFILAT AYOMIDE LAWAL TO Kafilat_x000a_Ayomide Lawal- C03"/>
    <x v="1"/>
    <s v="0.75"/>
    <s v="-"/>
    <n v="607047.12"/>
    <n v="0.75"/>
    <n v="0"/>
    <x v="0"/>
    <x v="0"/>
    <x v="2"/>
    <x v="0"/>
    <x v="2"/>
    <x v="0"/>
  </r>
  <r>
    <d v="2025-07-29T00:00:00"/>
    <x v="29"/>
    <s v="TRF//FRM KAFILAT AYOMIDE LAWAL TO Kafilat_x000a_Ayomide Lawal- C03"/>
    <x v="1"/>
    <s v="10,000.00"/>
    <s v="-"/>
    <n v="597047.12"/>
    <n v="10000"/>
    <n v="0"/>
    <x v="0"/>
    <x v="0"/>
    <x v="2"/>
    <x v="0"/>
    <x v="2"/>
    <x v="0"/>
  </r>
  <r>
    <d v="2025-07-29T00:00:00"/>
    <x v="29"/>
    <s v="COMMISSION TRF//FRM KAFILAT AYOMIDE LAWAL_x000a_TO Kafilat Ayomide Lawal- C03"/>
    <x v="1"/>
    <s v="25.00"/>
    <s v="-"/>
    <n v="597022.12"/>
    <n v="25"/>
    <n v="0"/>
    <x v="0"/>
    <x v="0"/>
    <x v="2"/>
    <x v="0"/>
    <x v="2"/>
    <x v="0"/>
  </r>
  <r>
    <d v="2025-07-29T00:00:00"/>
    <x v="29"/>
    <s v="VAT TRF//FRM KAFILAT AYOMIDE LAWAL TO Kafilat_x000a_Ayomide Lawal- C03"/>
    <x v="1"/>
    <s v="1.88"/>
    <s v="-"/>
    <n v="597020.25"/>
    <n v="1.88"/>
    <n v="0"/>
    <x v="0"/>
    <x v="0"/>
    <x v="2"/>
    <x v="0"/>
    <x v="2"/>
    <x v="0"/>
  </r>
  <r>
    <d v="2025-07-30T00:00:00"/>
    <x v="30"/>
    <s v="SMS Alert Fee-29/06-28/07/2025 + VAT"/>
    <x v="4"/>
    <s v="77.40"/>
    <s v="-"/>
    <n v="596942.81000000006"/>
    <n v="77.400000000000006"/>
    <n v="0"/>
    <x v="0"/>
    <x v="0"/>
    <x v="2"/>
    <x v="0"/>
    <x v="2"/>
    <x v="0"/>
  </r>
  <r>
    <d v="2025-07-30T00:00:00"/>
    <x v="30"/>
    <s v="TRF//FRM KAFILAT AYOMIDE LAWAL TO Kafilat_x000a_Ayomide Lawal- C03"/>
    <x v="1"/>
    <s v="5,000.00"/>
    <s v="-"/>
    <n v="591942.81000000006"/>
    <n v="5000"/>
    <n v="0"/>
    <x v="0"/>
    <x v="0"/>
    <x v="2"/>
    <x v="0"/>
    <x v="2"/>
    <x v="0"/>
  </r>
  <r>
    <d v="2025-07-30T00:00:00"/>
    <x v="30"/>
    <s v="COMMISSION TRF//FRM KAFILAT AYOMIDE LAWAL_x000a_TO Kafilat Ayomide Lawal- C03"/>
    <x v="1"/>
    <s v="10.00"/>
    <s v="-"/>
    <n v="591932.81000000006"/>
    <n v="10"/>
    <n v="0"/>
    <x v="0"/>
    <x v="0"/>
    <x v="2"/>
    <x v="0"/>
    <x v="2"/>
    <x v="0"/>
  </r>
  <r>
    <d v="2025-07-30T00:00:00"/>
    <x v="30"/>
    <s v="VAT TRF//FRM KAFILAT AYOMIDE LAWAL TO Kafilat_x000a_Ayomide Lawal- C03"/>
    <x v="1"/>
    <s v="0.75"/>
    <s v="-"/>
    <n v="591932.06000000006"/>
    <n v="0.75"/>
    <n v="0"/>
    <x v="0"/>
    <x v="0"/>
    <x v="2"/>
    <x v="0"/>
    <x v="2"/>
    <x v="0"/>
  </r>
  <r>
    <d v="2025-07-30T00:00:00"/>
    <x v="30"/>
    <s v="TRF//FRM KAFILAT AYOMIDE LAWAL TO DASOLA_x000a_SEKINAT LAWAL- C03"/>
    <x v="1"/>
    <s v="52,000.00"/>
    <s v="-"/>
    <n v="539932.06000000006"/>
    <n v="52000"/>
    <n v="0"/>
    <x v="0"/>
    <x v="0"/>
    <x v="2"/>
    <x v="0"/>
    <x v="2"/>
    <x v="0"/>
  </r>
  <r>
    <d v="2025-07-30T00:00:00"/>
    <x v="30"/>
    <s v="COMMISSION TRF//FRM KAFILAT AYOMIDE LAWAL_x000a_TO DASOLA SEKINAT LAWAL- C03"/>
    <x v="1"/>
    <s v="50.00"/>
    <s v="-"/>
    <n v="539882.06000000006"/>
    <n v="50"/>
    <n v="0"/>
    <x v="0"/>
    <x v="0"/>
    <x v="2"/>
    <x v="0"/>
    <x v="2"/>
    <x v="0"/>
  </r>
  <r>
    <d v="2025-07-30T00:00:00"/>
    <x v="30"/>
    <s v="VAT TRF//FRM KAFILAT AYOMIDE LAWAL TO_x000a_DASOLA SEKINAT LAWAL- C03"/>
    <x v="1"/>
    <s v="3.75"/>
    <s v="-"/>
    <n v="539878.31000000006"/>
    <n v="3.75"/>
    <n v="0"/>
    <x v="0"/>
    <x v="0"/>
    <x v="2"/>
    <x v="0"/>
    <x v="2"/>
    <x v="0"/>
  </r>
  <r>
    <d v="2025-07-30T00:00:00"/>
    <x v="30"/>
    <s v="ADELEKE SAMUEL ADEYEMI/Transfer from ADELEKE_x000a_SAMUEL ADEYEMI"/>
    <x v="2"/>
    <s v="-"/>
    <s v="540,000.00"/>
    <n v="1079878.3799999999"/>
    <n v="0"/>
    <n v="540000"/>
    <x v="1"/>
    <x v="0"/>
    <x v="2"/>
    <x v="0"/>
    <x v="2"/>
    <x v="0"/>
  </r>
  <r>
    <d v="2025-07-31T00:00:00"/>
    <x v="163"/>
    <s v="TRF//FRM KAFILAT AYOMIDE LAWAL TO AYODELE_x000a_OGUNDARE AND ABRAHAM BALOGUN- 057"/>
    <x v="1"/>
    <s v="1,000,000.00"/>
    <s v="-"/>
    <n v="79878.320000000007"/>
    <n v="1000000"/>
    <n v="0"/>
    <x v="0"/>
    <x v="0"/>
    <x v="2"/>
    <x v="0"/>
    <x v="2"/>
    <x v="0"/>
  </r>
  <r>
    <d v="2025-07-31T00:00:00"/>
    <x v="163"/>
    <s v="COMMISSION TRF//FRM KAFILAT AYOMIDE LAWAL_x000a_TO AYODELE OGUNDARE AND ABRAHAM_x000a_BALOGUN- 057"/>
    <x v="1"/>
    <s v="50.00"/>
    <s v="-"/>
    <n v="79828.320000000007"/>
    <n v="50"/>
    <n v="0"/>
    <x v="0"/>
    <x v="0"/>
    <x v="2"/>
    <x v="0"/>
    <x v="2"/>
    <x v="0"/>
  </r>
  <r>
    <d v="2025-07-31T00:00:00"/>
    <x v="163"/>
    <s v="VAT TRF//FRM KAFILAT AYOMIDE LAWAL TO_x000a_AYODELE OGUNDARE AND ABRAHAM BALOGUN-057"/>
    <x v="1"/>
    <s v="3.75"/>
    <s v="-"/>
    <n v="79824.570000000007"/>
    <n v="3.75"/>
    <n v="0"/>
    <x v="0"/>
    <x v="0"/>
    <x v="2"/>
    <x v="0"/>
    <x v="2"/>
    <x v="0"/>
  </r>
  <r>
    <d v="2025-07-31T00:00:00"/>
    <x v="163"/>
    <s v="Transfer from ADELEKE SAMUEL ADEYEMI"/>
    <x v="2"/>
    <s v="-"/>
    <s v="36,000.00"/>
    <n v="115824.57"/>
    <n v="0"/>
    <n v="36000"/>
    <x v="1"/>
    <x v="0"/>
    <x v="2"/>
    <x v="0"/>
    <x v="2"/>
    <x v="0"/>
  </r>
  <r>
    <d v="2025-08-01T00:00:00"/>
    <x v="31"/>
    <s v="TRF//FRM KAFILAT AYOMIDE LAWAL TO ABAKE_x000a_ADIJAT TIRI- C03"/>
    <x v="1"/>
    <s v="17,400.00"/>
    <s v="-"/>
    <n v="98424.57"/>
    <n v="17400"/>
    <n v="0"/>
    <x v="0"/>
    <x v="0"/>
    <x v="3"/>
    <x v="0"/>
    <x v="3"/>
    <x v="0"/>
  </r>
  <r>
    <d v="2025-08-01T00:00:00"/>
    <x v="31"/>
    <s v="COMMISSION TRF//FRM KAFILAT AYOMIDE LAWAL_x000a_TO ABAKE ADIJAT TIRI- C03"/>
    <x v="1"/>
    <s v="25.00"/>
    <s v="-"/>
    <n v="98399.57"/>
    <n v="25"/>
    <n v="0"/>
    <x v="0"/>
    <x v="0"/>
    <x v="3"/>
    <x v="0"/>
    <x v="3"/>
    <x v="0"/>
  </r>
  <r>
    <d v="2025-08-01T00:00:00"/>
    <x v="31"/>
    <s v="VAT TRF//FRM KAFILAT AYOMIDE LAWAL TO ABAKE_x000a_ADIJAT TIRI- C03"/>
    <x v="1"/>
    <s v="1.88"/>
    <s v="-"/>
    <n v="98397.69"/>
    <n v="1.88"/>
    <n v="0"/>
    <x v="0"/>
    <x v="0"/>
    <x v="3"/>
    <x v="0"/>
    <x v="3"/>
    <x v="0"/>
  </r>
  <r>
    <d v="2025-08-01T00:00:00"/>
    <x v="31"/>
    <s v="TRF//FRM KAFILAT AYOMIDE LAWAL TO_x000a_GANIZAABBEY ENTERPRISES - C03"/>
    <x v="1"/>
    <s v="2,100.00"/>
    <s v="-"/>
    <n v="96297.69"/>
    <n v="2100"/>
    <n v="0"/>
    <x v="0"/>
    <x v="0"/>
    <x v="3"/>
    <x v="0"/>
    <x v="3"/>
    <x v="0"/>
  </r>
  <r>
    <d v="2025-08-01T00:00:00"/>
    <x v="31"/>
    <s v="COMMISSION TRF//FRM KAFILAT AYOMIDE LAWAL_x000a_TO GANIZAABBEY ENTERPRISES - C03"/>
    <x v="1"/>
    <s v="10.00"/>
    <s v="-"/>
    <n v="96287.69"/>
    <n v="10"/>
    <n v="0"/>
    <x v="0"/>
    <x v="0"/>
    <x v="3"/>
    <x v="0"/>
    <x v="3"/>
    <x v="0"/>
  </r>
  <r>
    <d v="2025-08-01T00:00:00"/>
    <x v="31"/>
    <s v="VAT TRF//FRM KAFILAT AYOMIDE LAWAL TO_x000a_GANIZAABBEY ENTERPRISES - C03"/>
    <x v="1"/>
    <s v="0.75"/>
    <s v="-"/>
    <n v="96286.94"/>
    <n v="0.75"/>
    <n v="0"/>
    <x v="0"/>
    <x v="0"/>
    <x v="3"/>
    <x v="0"/>
    <x v="3"/>
    <x v="0"/>
  </r>
  <r>
    <d v="2025-08-01T00:00:00"/>
    <x v="31"/>
    <s v="MOBILE BILLS PYMT/ AIRTEL DATA/08127559574"/>
    <x v="0"/>
    <s v="800.00"/>
    <s v="-"/>
    <n v="95486.94"/>
    <n v="800"/>
    <n v="0"/>
    <x v="0"/>
    <x v="0"/>
    <x v="3"/>
    <x v="0"/>
    <x v="3"/>
    <x v="0"/>
  </r>
  <r>
    <d v="2025-08-01T00:00:00"/>
    <x v="31"/>
    <s v="TRF//FRM KAFILAT AYOMIDE LAWAL TO KAFILAT_x000a_AYOMIDE LAWAL"/>
    <x v="1"/>
    <s v="3,000.00"/>
    <s v="-"/>
    <n v="92486.94"/>
    <n v="3000"/>
    <n v="0"/>
    <x v="0"/>
    <x v="0"/>
    <x v="3"/>
    <x v="0"/>
    <x v="3"/>
    <x v="0"/>
  </r>
  <r>
    <d v="2025-08-03T00:00:00"/>
    <x v="164"/>
    <s v="AT129TRF|2MPT4wuzb|1951966615655759872AT129_x000a_TRF|2MPT4wuzb|1951966615655759872TABNET_x000a_NETWO Trf for"/>
    <x v="2"/>
    <s v="-"/>
    <s v="50,000.00"/>
    <n v="142486.94"/>
    <n v="0"/>
    <n v="50000"/>
    <x v="1"/>
    <x v="0"/>
    <x v="3"/>
    <x v="0"/>
    <x v="3"/>
    <x v="0"/>
  </r>
  <r>
    <d v="2025-08-03T00:00:00"/>
    <x v="164"/>
    <s v="TRF//FRM KAFILAT AYOMIDE LAWAL TO DOLLATAK_x000a_VENTURES- 214"/>
    <x v="1"/>
    <s v="100,000.00"/>
    <s v="-"/>
    <n v="42486.94"/>
    <n v="100000"/>
    <n v="0"/>
    <x v="0"/>
    <x v="0"/>
    <x v="3"/>
    <x v="0"/>
    <x v="3"/>
    <x v="0"/>
  </r>
  <r>
    <d v="2025-08-03T00:00:00"/>
    <x v="164"/>
    <s v="COMMISSION TRF//FRM KAFILAT AYOMIDE LAWAL_x000a_TO DOLLATAK VENTURES- 214"/>
    <x v="1"/>
    <s v="50.00"/>
    <s v="-"/>
    <n v="42436.94"/>
    <n v="50"/>
    <n v="0"/>
    <x v="0"/>
    <x v="0"/>
    <x v="3"/>
    <x v="0"/>
    <x v="3"/>
    <x v="0"/>
  </r>
  <r>
    <d v="2025-08-03T00:00:00"/>
    <x v="164"/>
    <s v="VAT TRF//FRM KAFILAT AYOMIDE LAWAL TO_x000a_DOLLATAK VENTURES- 214"/>
    <x v="1"/>
    <s v="3.75"/>
    <s v="-"/>
    <n v="42433.19"/>
    <n v="3.75"/>
    <n v="0"/>
    <x v="0"/>
    <x v="0"/>
    <x v="3"/>
    <x v="0"/>
    <x v="3"/>
    <x v="0"/>
  </r>
  <r>
    <d v="2025-08-03T00:00:00"/>
    <x v="164"/>
    <s v="TRF//FRM KAFILAT AYOMIDE LAWAL TO Kafilat_x000a_Ayomide Lawal- C03"/>
    <x v="1"/>
    <s v="1,000.00"/>
    <s v="-"/>
    <n v="41433.19"/>
    <n v="1000"/>
    <n v="0"/>
    <x v="0"/>
    <x v="0"/>
    <x v="3"/>
    <x v="0"/>
    <x v="3"/>
    <x v="0"/>
  </r>
  <r>
    <d v="2025-08-03T00:00:00"/>
    <x v="164"/>
    <s v="COMMISSION TRF//FRM KAFILAT AYOMIDE LAWAL_x000a_TO Kafilat Ayomide Lawal- C03"/>
    <x v="1"/>
    <s v="10.00"/>
    <s v="-"/>
    <n v="41423.19"/>
    <n v="10"/>
    <n v="0"/>
    <x v="0"/>
    <x v="0"/>
    <x v="3"/>
    <x v="0"/>
    <x v="3"/>
    <x v="0"/>
  </r>
  <r>
    <d v="2025-08-03T00:00:00"/>
    <x v="164"/>
    <s v="VAT TRF//FRM KAFILAT AYOMIDE LAWAL TO Kafilat_x000a_Ayomide Lawal- C03"/>
    <x v="1"/>
    <s v="0.75"/>
    <s v="-"/>
    <n v="41422.44"/>
    <n v="0.75"/>
    <n v="0"/>
    <x v="0"/>
    <x v="0"/>
    <x v="3"/>
    <x v="0"/>
    <x v="3"/>
    <x v="0"/>
  </r>
  <r>
    <d v="2025-08-03T00:00:00"/>
    <x v="164"/>
    <s v="TRF//FRM KAFILAT AYOMIDE LAWAL TO Kafilat_x000a_Ayomide Lawal- C03"/>
    <x v="1"/>
    <s v="1,000.00"/>
    <s v="-"/>
    <n v="40422.44"/>
    <n v="1000"/>
    <n v="0"/>
    <x v="0"/>
    <x v="0"/>
    <x v="3"/>
    <x v="0"/>
    <x v="3"/>
    <x v="0"/>
  </r>
  <r>
    <d v="2025-08-03T00:00:00"/>
    <x v="164"/>
    <s v="COMMISSION TRF//FRM KAFILAT AYOMIDE LAWAL_x000a_TO Kafilat Ayomide Lawal- C03"/>
    <x v="1"/>
    <s v="10.00"/>
    <s v="-"/>
    <n v="40412.44"/>
    <n v="10"/>
    <n v="0"/>
    <x v="0"/>
    <x v="0"/>
    <x v="3"/>
    <x v="0"/>
    <x v="3"/>
    <x v="0"/>
  </r>
  <r>
    <d v="2025-08-03T00:00:00"/>
    <x v="164"/>
    <s v="VAT TRF//FRM KAFILAT AYOMIDE LAWAL TO Kafilat_x000a_Ayomide Lawal- C03"/>
    <x v="1"/>
    <s v="0.75"/>
    <s v="-"/>
    <n v="40411.69"/>
    <n v="0.75"/>
    <n v="0"/>
    <x v="0"/>
    <x v="0"/>
    <x v="3"/>
    <x v="0"/>
    <x v="3"/>
    <x v="0"/>
  </r>
  <r>
    <d v="2025-08-06T00:00:00"/>
    <x v="32"/>
    <s v="TRF//FRM KAFILAT AYOMIDE LAWAL TO Kafilat_x000a_Ayomide Lawal- C03"/>
    <x v="1"/>
    <s v="2,500.00"/>
    <s v="-"/>
    <n v="37911.69"/>
    <n v="2500"/>
    <n v="0"/>
    <x v="0"/>
    <x v="0"/>
    <x v="3"/>
    <x v="0"/>
    <x v="3"/>
    <x v="0"/>
  </r>
  <r>
    <d v="2025-08-06T00:00:00"/>
    <x v="32"/>
    <s v="COMMISSION TRF//FRM KAFILAT AYOMIDE LAWAL_x000a_TO Kafilat Ayomide Lawal- C03"/>
    <x v="1"/>
    <s v="10.00"/>
    <s v="-"/>
    <n v="37901.69"/>
    <n v="10"/>
    <n v="0"/>
    <x v="0"/>
    <x v="0"/>
    <x v="3"/>
    <x v="0"/>
    <x v="3"/>
    <x v="0"/>
  </r>
  <r>
    <d v="2025-08-06T00:00:00"/>
    <x v="32"/>
    <s v="VAT TRF//FRM KAFILAT AYOMIDE LAWAL TO Kafilat_x000a_Ayomide Lawal- C03"/>
    <x v="1"/>
    <s v="0.75"/>
    <s v="-"/>
    <n v="37900.94"/>
    <n v="0.75"/>
    <n v="0"/>
    <x v="0"/>
    <x v="0"/>
    <x v="3"/>
    <x v="0"/>
    <x v="3"/>
    <x v="0"/>
  </r>
  <r>
    <d v="2025-08-07T00:00:00"/>
    <x v="165"/>
    <s v="TRF//FRM KAFILAT AYOMIDE LAWAL TO_x000a_BABATUNDE OJO ABIODUN- 011"/>
    <x v="1"/>
    <s v="30,000.00"/>
    <s v="-"/>
    <n v="7900.94"/>
    <n v="30000"/>
    <n v="0"/>
    <x v="0"/>
    <x v="0"/>
    <x v="3"/>
    <x v="0"/>
    <x v="3"/>
    <x v="0"/>
  </r>
  <r>
    <d v="2025-08-07T00:00:00"/>
    <x v="165"/>
    <s v="COMMISSION TRF//FRM KAFILAT AYOMIDE LAWAL_x000a_TO BABATUNDE OJO ABIODUN- 011"/>
    <x v="1"/>
    <s v="25.00"/>
    <s v="-"/>
    <n v="7875.94"/>
    <n v="25"/>
    <n v="0"/>
    <x v="0"/>
    <x v="0"/>
    <x v="3"/>
    <x v="0"/>
    <x v="3"/>
    <x v="0"/>
  </r>
  <r>
    <d v="2025-08-07T00:00:00"/>
    <x v="165"/>
    <s v="VAT TRF//FRM KAFILAT AYOMIDE LAWAL TO_x000a_BABATUNDE OJO ABIODUN- 011"/>
    <x v="1"/>
    <s v="1.88"/>
    <s v="-"/>
    <n v="7874.06"/>
    <n v="1.88"/>
    <n v="0"/>
    <x v="0"/>
    <x v="0"/>
    <x v="3"/>
    <x v="0"/>
    <x v="3"/>
    <x v="0"/>
  </r>
  <r>
    <d v="2025-08-07T00:00:00"/>
    <x v="165"/>
    <s v="TRF//FRM KAFILAT AYOMIDE LAWAL TO SAINAB_x000a_DASOLA RAHEEM- C03"/>
    <x v="1"/>
    <s v="5,000.00"/>
    <s v="-"/>
    <n v="2874.06"/>
    <n v="5000"/>
    <n v="0"/>
    <x v="0"/>
    <x v="0"/>
    <x v="3"/>
    <x v="0"/>
    <x v="3"/>
    <x v="0"/>
  </r>
  <r>
    <d v="2025-08-07T00:00:00"/>
    <x v="165"/>
    <s v="COMMISSION TRF//FRM KAFILAT AYOMIDE LAWAL_x000a_TO SAINAB DASOLA RAHEEM- C03"/>
    <x v="1"/>
    <s v="10.00"/>
    <s v="-"/>
    <n v="2864.06"/>
    <n v="10"/>
    <n v="0"/>
    <x v="0"/>
    <x v="0"/>
    <x v="3"/>
    <x v="0"/>
    <x v="3"/>
    <x v="0"/>
  </r>
  <r>
    <d v="2025-08-07T00:00:00"/>
    <x v="165"/>
    <s v="VAT TRF//FRM KAFILAT AYOMIDE LAWAL TO SAINAB_x000a_DASOLA RAHEEM- C03"/>
    <x v="1"/>
    <s v="0.75"/>
    <s v="-"/>
    <n v="2863.31"/>
    <n v="0.75"/>
    <n v="0"/>
    <x v="0"/>
    <x v="0"/>
    <x v="3"/>
    <x v="0"/>
    <x v="3"/>
    <x v="0"/>
  </r>
  <r>
    <d v="2025-08-07T00:00:00"/>
    <x v="165"/>
    <s v="MOBILE BILLS PYMT/ AIRTEL DATA/08127559574"/>
    <x v="0"/>
    <s v="1,500.00"/>
    <s v="-"/>
    <n v="1363.31"/>
    <n v="1500"/>
    <n v="0"/>
    <x v="0"/>
    <x v="0"/>
    <x v="3"/>
    <x v="0"/>
    <x v="3"/>
    <x v="0"/>
  </r>
  <r>
    <d v="2025-08-08T00:00:00"/>
    <x v="33"/>
    <s v="MOBILE BILLS PYMT/ GLO DATA/08050670394"/>
    <x v="0"/>
    <s v="500.00"/>
    <s v="-"/>
    <n v="863.31"/>
    <n v="500"/>
    <n v="0"/>
    <x v="0"/>
    <x v="0"/>
    <x v="3"/>
    <x v="0"/>
    <x v="3"/>
    <x v="0"/>
  </r>
  <r>
    <d v="2025-08-08T00:00:00"/>
    <x v="33"/>
    <s v="TRF//FRM KAFILAT AYOMIDE LAWAL TO KAFILAT_x000a_AYOMIDE LAWAL"/>
    <x v="1"/>
    <s v="863.00"/>
    <s v="-"/>
    <n v="0.31"/>
    <n v="863"/>
    <n v="0"/>
    <x v="0"/>
    <x v="0"/>
    <x v="3"/>
    <x v="0"/>
    <x v="3"/>
    <x v="0"/>
  </r>
  <r>
    <d v="2025-08-09T00:00:00"/>
    <x v="34"/>
    <s v="AT129TRF|2MPT493df|1954205943628402688AT129T_x000a_RF|2MPT493df|1954205943628402688MAMA KOKO_x000a_BU Trf for"/>
    <x v="2"/>
    <s v="-"/>
    <s v="500,000.00"/>
    <n v="500000.31"/>
    <n v="0"/>
    <n v="500000"/>
    <x v="1"/>
    <x v="0"/>
    <x v="3"/>
    <x v="0"/>
    <x v="3"/>
    <x v="0"/>
  </r>
  <r>
    <d v="2025-08-09T00:00:00"/>
    <x v="34"/>
    <s v="TRF//FRM KAFILAT AYOMIDE LAWAL TO KAFILAT_x000a_AYOMIDE LAWAL"/>
    <x v="2"/>
    <s v="-"/>
    <s v="1,000.00"/>
    <n v="501000.31"/>
    <n v="0"/>
    <n v="1000"/>
    <x v="1"/>
    <x v="0"/>
    <x v="3"/>
    <x v="0"/>
    <x v="3"/>
    <x v="0"/>
  </r>
  <r>
    <d v="2025-08-09T00:00:00"/>
    <x v="34"/>
    <s v="TRF//FRM KAFILAT AYOMIDE LAWAL TO_x000a_OLUWATOYIN SAMUEL OMOTOSO- C03"/>
    <x v="1"/>
    <s v="500,000.00"/>
    <s v="-"/>
    <n v="1000.31"/>
    <n v="500000"/>
    <n v="0"/>
    <x v="0"/>
    <x v="0"/>
    <x v="3"/>
    <x v="0"/>
    <x v="3"/>
    <x v="0"/>
  </r>
  <r>
    <d v="2025-08-09T00:00:00"/>
    <x v="34"/>
    <s v="COMMISSION TRF//FRM KAFILAT AYOMIDE LAWAL_x000a_TO OLUWATOYIN SAMUEL OMOTOSO- C03"/>
    <x v="1"/>
    <s v="50.00"/>
    <s v="-"/>
    <n v="950.31"/>
    <n v="50"/>
    <n v="0"/>
    <x v="0"/>
    <x v="0"/>
    <x v="3"/>
    <x v="0"/>
    <x v="3"/>
    <x v="0"/>
  </r>
  <r>
    <d v="2025-08-09T00:00:00"/>
    <x v="34"/>
    <s v="VAT TRF//FRM KAFILAT AYOMIDE LAWAL TO_x000a_OLUWATOYIN SAMUEL OMOTOSO- C03"/>
    <x v="1"/>
    <s v="3.75"/>
    <s v="-"/>
    <n v="946.56"/>
    <n v="3.75"/>
    <n v="0"/>
    <x v="0"/>
    <x v="0"/>
    <x v="3"/>
    <x v="0"/>
    <x v="3"/>
    <x v="0"/>
  </r>
  <r>
    <d v="2025-08-10T00:00:00"/>
    <x v="166"/>
    <s v="Transfer from ABDU -RASAQ ABDU- RAHMAN"/>
    <x v="2"/>
    <s v="-"/>
    <s v="70,500.00"/>
    <n v="71446.559999999998"/>
    <n v="0"/>
    <n v="70500"/>
    <x v="1"/>
    <x v="0"/>
    <x v="3"/>
    <x v="0"/>
    <x v="3"/>
    <x v="0"/>
  </r>
  <r>
    <d v="2025-08-10T00:00:00"/>
    <x v="166"/>
    <s v="TRF//FRM KAFILAT AYOMIDE LAWAL TO SALAWU_x000a_TAJUDEEN- 033"/>
    <x v="1"/>
    <s v="30,000.00"/>
    <s v="-"/>
    <n v="41446.559999999998"/>
    <n v="30000"/>
    <n v="0"/>
    <x v="0"/>
    <x v="0"/>
    <x v="3"/>
    <x v="0"/>
    <x v="3"/>
    <x v="0"/>
  </r>
  <r>
    <d v="2025-08-10T00:00:00"/>
    <x v="166"/>
    <s v="COMMISSION TRF//FRM KAFILAT AYOMIDE LAWAL_x000a_TO SALAWU TAJUDEEN- 033"/>
    <x v="1"/>
    <s v="25.00"/>
    <s v="-"/>
    <n v="41421.56"/>
    <n v="25"/>
    <n v="0"/>
    <x v="0"/>
    <x v="0"/>
    <x v="3"/>
    <x v="0"/>
    <x v="3"/>
    <x v="0"/>
  </r>
  <r>
    <d v="2025-08-10T00:00:00"/>
    <x v="166"/>
    <s v="VAT TRF//FRM KAFILAT AYOMIDE LAWAL TO_x000a_SALAWU TAJUDEEN- 033"/>
    <x v="1"/>
    <s v="1.88"/>
    <s v="-"/>
    <n v="41419.68"/>
    <n v="1.88"/>
    <n v="0"/>
    <x v="0"/>
    <x v="0"/>
    <x v="3"/>
    <x v="0"/>
    <x v="3"/>
    <x v="0"/>
  </r>
  <r>
    <d v="2025-08-10T00:00:00"/>
    <x v="166"/>
    <s v="TRF//FRM KAFILAT AYOMIDE LAWAL TO SAKIRAT_x000a_ABOSEDE BELLO- C03"/>
    <x v="1"/>
    <s v="8,000.00"/>
    <s v="-"/>
    <n v="33419.68"/>
    <n v="8000"/>
    <n v="0"/>
    <x v="0"/>
    <x v="0"/>
    <x v="3"/>
    <x v="0"/>
    <x v="3"/>
    <x v="0"/>
  </r>
  <r>
    <d v="2025-08-10T00:00:00"/>
    <x v="166"/>
    <s v="COMMISSION TRF//FRM KAFILAT AYOMIDE LAWAL_x000a_TO SAKIRAT ABOSEDE BELLO- C03"/>
    <x v="1"/>
    <s v="25.00"/>
    <s v="-"/>
    <n v="33394.68"/>
    <n v="25"/>
    <n v="0"/>
    <x v="0"/>
    <x v="0"/>
    <x v="3"/>
    <x v="0"/>
    <x v="3"/>
    <x v="0"/>
  </r>
  <r>
    <d v="2025-08-10T00:00:00"/>
    <x v="166"/>
    <s v="VAT TRF//FRM KAFILAT AYOMIDE LAWAL TO_x000a_SAKIRAT ABOSEDE BELLO- C03"/>
    <x v="1"/>
    <s v="1.88"/>
    <s v="-"/>
    <n v="33392.800000000003"/>
    <n v="1.88"/>
    <n v="0"/>
    <x v="0"/>
    <x v="0"/>
    <x v="3"/>
    <x v="0"/>
    <x v="3"/>
    <x v="0"/>
  </r>
  <r>
    <d v="2025-08-10T00:00:00"/>
    <x v="166"/>
    <s v="TRF/null/TO KAFILAT AYOMIDE LAWAL FROM_x000a_SILIFAT MOSUNMOLA SHOGBESAN"/>
    <x v="2"/>
    <s v="-"/>
    <s v="306,000.00"/>
    <n v="339392.81"/>
    <n v="0"/>
    <n v="306000"/>
    <x v="1"/>
    <x v="0"/>
    <x v="3"/>
    <x v="0"/>
    <x v="3"/>
    <x v="0"/>
  </r>
  <r>
    <d v="2025-08-13T00:00:00"/>
    <x v="167"/>
    <s v="TRF//FRM KAFILAT AYOMIDE LAWAL TO_x000a_OLUWATOYIN SAMUEL OMOTOSO- C03"/>
    <x v="1"/>
    <s v="200,000.00"/>
    <s v="-"/>
    <n v="139392.79999999999"/>
    <n v="200000"/>
    <n v="0"/>
    <x v="0"/>
    <x v="0"/>
    <x v="3"/>
    <x v="0"/>
    <x v="3"/>
    <x v="0"/>
  </r>
  <r>
    <d v="2025-08-13T00:00:00"/>
    <x v="167"/>
    <s v="COMMISSION TRF//FRM KAFILAT AYOMIDE LAWAL_x000a_TO OLUWATOYIN SAMUEL OMOTOSO- C03"/>
    <x v="1"/>
    <s v="50.00"/>
    <s v="-"/>
    <n v="139342.79999999999"/>
    <n v="50"/>
    <n v="0"/>
    <x v="0"/>
    <x v="0"/>
    <x v="3"/>
    <x v="0"/>
    <x v="3"/>
    <x v="0"/>
  </r>
  <r>
    <d v="2025-08-13T00:00:00"/>
    <x v="167"/>
    <s v="VAT TRF//FRM KAFILAT AYOMIDE LAWAL TO_x000a_OLUWATOYIN SAMUEL OMOTOSO- C03"/>
    <x v="1"/>
    <s v="3.75"/>
    <s v="-"/>
    <n v="139339.04999999999"/>
    <n v="3.75"/>
    <n v="0"/>
    <x v="0"/>
    <x v="0"/>
    <x v="3"/>
    <x v="0"/>
    <x v="3"/>
    <x v="0"/>
  </r>
  <r>
    <d v="2025-08-13T00:00:00"/>
    <x v="167"/>
    <s v="TRF//FRM KAFILAT AYOMIDE LAWAL TO FATHIA_x000a_ABIODUN LAWAL- C03"/>
    <x v="1"/>
    <s v="20,000.00"/>
    <s v="-"/>
    <n v="119339.05"/>
    <n v="20000"/>
    <n v="0"/>
    <x v="0"/>
    <x v="0"/>
    <x v="3"/>
    <x v="0"/>
    <x v="3"/>
    <x v="0"/>
  </r>
  <r>
    <d v="2025-08-13T00:00:00"/>
    <x v="167"/>
    <s v="COMMISSION TRF//FRM KAFILAT AYOMIDE LAWAL_x000a_TO FATHIA ABIODUN LAWAL- C03"/>
    <x v="1"/>
    <s v="25.00"/>
    <s v="-"/>
    <n v="119314.05"/>
    <n v="25"/>
    <n v="0"/>
    <x v="0"/>
    <x v="0"/>
    <x v="3"/>
    <x v="0"/>
    <x v="3"/>
    <x v="0"/>
  </r>
  <r>
    <d v="2025-08-13T00:00:00"/>
    <x v="167"/>
    <s v="VAT TRF//FRM KAFILAT AYOMIDE LAWAL TO FATHIA_x000a_ABIODUN LAWAL- C03"/>
    <x v="1"/>
    <s v="1.88"/>
    <s v="-"/>
    <n v="119312.17"/>
    <n v="1.88"/>
    <n v="0"/>
    <x v="0"/>
    <x v="0"/>
    <x v="3"/>
    <x v="0"/>
    <x v="3"/>
    <x v="0"/>
  </r>
  <r>
    <d v="2025-08-15T00:00:00"/>
    <x v="168"/>
    <s v="TRF//FRM KAFILAT AYOMIDE LAWAL TO LAWAL_x000a_MONSURAT BOLANLE- 011"/>
    <x v="1"/>
    <s v="10,000.00"/>
    <s v="-"/>
    <n v="109312.17"/>
    <n v="10000"/>
    <n v="0"/>
    <x v="0"/>
    <x v="0"/>
    <x v="3"/>
    <x v="0"/>
    <x v="3"/>
    <x v="0"/>
  </r>
  <r>
    <d v="2025-08-15T00:00:00"/>
    <x v="168"/>
    <s v="COMMISSION TRF//FRM KAFILAT AYOMIDE LAWAL_x000a_TO LAWAL MONSURAT BOLANLE- 011"/>
    <x v="1"/>
    <s v="25.00"/>
    <s v="-"/>
    <n v="109287.17"/>
    <n v="25"/>
    <n v="0"/>
    <x v="0"/>
    <x v="0"/>
    <x v="3"/>
    <x v="0"/>
    <x v="3"/>
    <x v="0"/>
  </r>
  <r>
    <d v="2025-08-15T00:00:00"/>
    <x v="168"/>
    <s v="VAT TRF//FRM KAFILAT AYOMIDE LAWAL TO LAWAL_x000a_MONSURAT BOLANLE- 011"/>
    <x v="1"/>
    <s v="1.88"/>
    <s v="-"/>
    <n v="109285.29"/>
    <n v="1.88"/>
    <n v="0"/>
    <x v="0"/>
    <x v="0"/>
    <x v="3"/>
    <x v="0"/>
    <x v="3"/>
    <x v="0"/>
  </r>
  <r>
    <d v="2025-08-15T00:00:00"/>
    <x v="168"/>
    <s v="MOBILE BILLS PYMT/ AIRTEL DATA/08127559574"/>
    <x v="0"/>
    <s v="1,500.00"/>
    <s v="-"/>
    <n v="107785.29"/>
    <n v="1500"/>
    <n v="0"/>
    <x v="0"/>
    <x v="0"/>
    <x v="3"/>
    <x v="0"/>
    <x v="3"/>
    <x v="0"/>
  </r>
  <r>
    <d v="2025-08-16T00:00:00"/>
    <x v="169"/>
    <s v="TRF//FRM KAFILAT AYOMIDE LAWAL TO MAMA_x000a_KOKO BUSINESS ENTERPRISES - Mama Koko_x000a_Ventures- C39"/>
    <x v="1"/>
    <s v="2,000.00"/>
    <s v="-"/>
    <n v="105785.29"/>
    <n v="2000"/>
    <n v="0"/>
    <x v="0"/>
    <x v="0"/>
    <x v="3"/>
    <x v="0"/>
    <x v="3"/>
    <x v="0"/>
  </r>
  <r>
    <d v="2025-08-16T00:00:00"/>
    <x v="169"/>
    <s v="COMMISSION TRF//FRM KAFILAT AYOMIDE LAWAL_x000a_TO MAMA KOKO BUSINESS ENTERPRISES - Mama_x000a_Koko Ventures- C39"/>
    <x v="1"/>
    <s v="10.00"/>
    <s v="-"/>
    <n v="105775.29"/>
    <n v="10"/>
    <n v="0"/>
    <x v="0"/>
    <x v="0"/>
    <x v="3"/>
    <x v="0"/>
    <x v="3"/>
    <x v="0"/>
  </r>
  <r>
    <d v="2025-08-16T00:00:00"/>
    <x v="169"/>
    <s v="VAT TRF//FRM KAFILAT AYOMIDE LAWAL TO MAMA_x000a_KOKO BUSINESS ENTERPRISES - Mama Koko_x000a_Ventures- C39"/>
    <x v="1"/>
    <s v="0.75"/>
    <s v="-"/>
    <n v="105774.54"/>
    <n v="0.75"/>
    <n v="0"/>
    <x v="0"/>
    <x v="0"/>
    <x v="3"/>
    <x v="0"/>
    <x v="3"/>
    <x v="0"/>
  </r>
  <r>
    <d v="2025-08-18T00:00:00"/>
    <x v="36"/>
    <s v="TRF//FRM KAFILAT AYOMIDE LAWAL TO KAFILAT_x000a_AYOMIDE LAWAL"/>
    <x v="1"/>
    <s v="1,000.00"/>
    <s v="-"/>
    <n v="104774.54"/>
    <n v="1000"/>
    <n v="0"/>
    <x v="0"/>
    <x v="0"/>
    <x v="3"/>
    <x v="0"/>
    <x v="3"/>
    <x v="0"/>
  </r>
  <r>
    <d v="2025-08-20T00:00:00"/>
    <x v="37"/>
    <s v="TRF//FRM KAFILAT AYOMIDE LAWAL TO Kafilat_x000a_Ayomide Lawal- C03"/>
    <x v="1"/>
    <s v="1,000.00"/>
    <s v="-"/>
    <n v="103774.54"/>
    <n v="1000"/>
    <n v="0"/>
    <x v="0"/>
    <x v="0"/>
    <x v="3"/>
    <x v="0"/>
    <x v="3"/>
    <x v="0"/>
  </r>
  <r>
    <d v="2025-08-20T00:00:00"/>
    <x v="37"/>
    <s v="COMMISSION TRF//FRM KAFILAT AYOMIDE LAWAL_x000a_TO Kafilat Ayomide Lawal- C03"/>
    <x v="1"/>
    <s v="10.00"/>
    <s v="-"/>
    <n v="103764.54"/>
    <n v="10"/>
    <n v="0"/>
    <x v="0"/>
    <x v="0"/>
    <x v="3"/>
    <x v="0"/>
    <x v="3"/>
    <x v="0"/>
  </r>
  <r>
    <d v="2025-08-20T00:00:00"/>
    <x v="37"/>
    <s v="VAT TRF//FRM KAFILAT AYOMIDE LAWAL TO Kafilat_x000a_Ayomide Lawal- C03"/>
    <x v="1"/>
    <s v="0.75"/>
    <s v="-"/>
    <n v="103763.79"/>
    <n v="0.75"/>
    <n v="0"/>
    <x v="0"/>
    <x v="0"/>
    <x v="3"/>
    <x v="0"/>
    <x v="3"/>
    <x v="0"/>
  </r>
  <r>
    <d v="2025-08-23T00:00:00"/>
    <x v="170"/>
    <s v="TRF//FRM KAFILAT AYOMIDE LAWAL TO SAKIRAT_x000a_ABOSEDE BELLO- C03"/>
    <x v="1"/>
    <s v="22,500.00"/>
    <s v="-"/>
    <n v="81263.789999999994"/>
    <n v="22500"/>
    <n v="0"/>
    <x v="0"/>
    <x v="0"/>
    <x v="3"/>
    <x v="0"/>
    <x v="3"/>
    <x v="0"/>
  </r>
  <r>
    <d v="2025-08-23T00:00:00"/>
    <x v="170"/>
    <s v="COMMISSION TRF//FRM KAFILAT AYOMIDE LAWAL_x000a_TO SAKIRAT ABOSEDE BELLO- C03"/>
    <x v="1"/>
    <s v="25.00"/>
    <s v="-"/>
    <n v="81238.789999999994"/>
    <n v="25"/>
    <n v="0"/>
    <x v="0"/>
    <x v="0"/>
    <x v="3"/>
    <x v="0"/>
    <x v="3"/>
    <x v="0"/>
  </r>
  <r>
    <d v="2025-08-23T00:00:00"/>
    <x v="170"/>
    <s v="VAT TRF//FRM KAFILAT AYOMIDE LAWAL TO_x000a_SAKIRAT ABOSEDE BELLO- C03"/>
    <x v="1"/>
    <s v="1.88"/>
    <s v="-"/>
    <n v="81236.91"/>
    <n v="1.88"/>
    <n v="0"/>
    <x v="0"/>
    <x v="0"/>
    <x v="3"/>
    <x v="0"/>
    <x v="3"/>
    <x v="0"/>
  </r>
  <r>
    <d v="2025-08-23T00:00:00"/>
    <x v="170"/>
    <s v="TRF//FRM KAFILAT AYOMIDE LAWAL TO KAREEM_x000a_WASIU- 033"/>
    <x v="1"/>
    <s v="25,000.00"/>
    <s v="-"/>
    <n v="56236.91"/>
    <n v="25000"/>
    <n v="0"/>
    <x v="0"/>
    <x v="0"/>
    <x v="3"/>
    <x v="0"/>
    <x v="3"/>
    <x v="0"/>
  </r>
  <r>
    <d v="2025-08-23T00:00:00"/>
    <x v="170"/>
    <s v="COMMISSION TRF//FRM KAFILAT AYOMIDE LAWAL_x000a_TO KAREEM WASIU- 033"/>
    <x v="1"/>
    <s v="25.00"/>
    <s v="-"/>
    <n v="56211.91"/>
    <n v="25"/>
    <n v="0"/>
    <x v="0"/>
    <x v="0"/>
    <x v="3"/>
    <x v="0"/>
    <x v="3"/>
    <x v="0"/>
  </r>
  <r>
    <d v="2025-08-23T00:00:00"/>
    <x v="170"/>
    <s v="VAT TRF//FRM KAFILAT AYOMIDE LAWAL TO_x000a_KAREEM WASIU- 033"/>
    <x v="1"/>
    <s v="1.88"/>
    <s v="-"/>
    <n v="56210.03"/>
    <n v="1.88"/>
    <n v="0"/>
    <x v="0"/>
    <x v="0"/>
    <x v="3"/>
    <x v="0"/>
    <x v="3"/>
    <x v="0"/>
  </r>
  <r>
    <d v="2025-08-23T00:00:00"/>
    <x v="170"/>
    <s v="TRF//FRM KAFILAT AYOMIDE LAWAL TO DAGI_x000a_TEACHERS QUARTER LANDLORD AND RESIDENT_x000a_ASSOCIATION- 033"/>
    <x v="1"/>
    <s v="12,000.00"/>
    <s v="-"/>
    <n v="44210.03"/>
    <n v="12000"/>
    <n v="0"/>
    <x v="0"/>
    <x v="0"/>
    <x v="3"/>
    <x v="0"/>
    <x v="3"/>
    <x v="0"/>
  </r>
  <r>
    <d v="2025-08-23T00:00:00"/>
    <x v="170"/>
    <s v="COMMISSION TRF//FRM KAFILAT AYOMIDE LAWAL_x000a_TO DAGI TEACHERS QUARTER LANDLORD AND_x000a_RESIDENT ASSOCIATION- 033"/>
    <x v="1"/>
    <s v="25.00"/>
    <s v="-"/>
    <n v="44185.03"/>
    <n v="25"/>
    <n v="0"/>
    <x v="0"/>
    <x v="0"/>
    <x v="3"/>
    <x v="0"/>
    <x v="3"/>
    <x v="0"/>
  </r>
  <r>
    <d v="2025-08-23T00:00:00"/>
    <x v="170"/>
    <s v="VAT TRF//FRM KAFILAT AYOMIDE LAWAL TO DAGI_x000a_TEACHERS QUARTER LANDLORD AND RESIDENT_x000a_ASSOCIATION- 033"/>
    <x v="1"/>
    <s v="1.88"/>
    <s v="-"/>
    <n v="44183.15"/>
    <n v="1.88"/>
    <n v="0"/>
    <x v="0"/>
    <x v="0"/>
    <x v="3"/>
    <x v="0"/>
    <x v="3"/>
    <x v="0"/>
  </r>
  <r>
    <d v="2025-08-25T00:00:00"/>
    <x v="171"/>
    <s v="TRF//FRM KAFILAT AYOMIDE LAWAL TO OLADIMEJI_x000a_GAFAR BELLO- C03"/>
    <x v="1"/>
    <s v="15,000.00"/>
    <s v="-"/>
    <n v="29183.15"/>
    <n v="15000"/>
    <n v="0"/>
    <x v="0"/>
    <x v="1"/>
    <x v="3"/>
    <x v="0"/>
    <x v="3"/>
    <x v="0"/>
  </r>
  <r>
    <d v="2025-08-25T00:00:00"/>
    <x v="171"/>
    <s v="COMMISSION TRF//FRM KAFILAT AYOMIDE LAWAL_x000a_TO OLADIMEJI GAFAR BELLO- C03"/>
    <x v="1"/>
    <s v="25.00"/>
    <s v="-"/>
    <n v="29158.15"/>
    <n v="25"/>
    <n v="0"/>
    <x v="0"/>
    <x v="1"/>
    <x v="3"/>
    <x v="0"/>
    <x v="3"/>
    <x v="0"/>
  </r>
  <r>
    <d v="2025-08-25T00:00:00"/>
    <x v="171"/>
    <s v="VAT TRF//FRM KAFILAT AYOMIDE LAWAL TO_x000a_OLADIMEJI GAFAR BELLO- C03"/>
    <x v="1"/>
    <s v="1.88"/>
    <s v="-"/>
    <n v="29156.27"/>
    <n v="1.88"/>
    <n v="0"/>
    <x v="0"/>
    <x v="1"/>
    <x v="3"/>
    <x v="0"/>
    <x v="3"/>
    <x v="0"/>
  </r>
  <r>
    <d v="2025-08-25T00:00:00"/>
    <x v="171"/>
    <s v="TRF//FRM KAFILAT AYOMIDE LAWAL TO Kafilat_x000a_Ayomide Lawal- C03"/>
    <x v="1"/>
    <s v="1,500.00"/>
    <s v="-"/>
    <n v="27656.27"/>
    <n v="1500"/>
    <n v="0"/>
    <x v="0"/>
    <x v="1"/>
    <x v="3"/>
    <x v="0"/>
    <x v="3"/>
    <x v="0"/>
  </r>
  <r>
    <d v="2025-08-25T00:00:00"/>
    <x v="171"/>
    <s v="COMMISSION TRF//FRM KAFILAT AYOMIDE LAWAL_x000a_TO Kafilat Ayomide Lawal- C03"/>
    <x v="1"/>
    <s v="10.00"/>
    <s v="-"/>
    <n v="27646.27"/>
    <n v="10"/>
    <n v="0"/>
    <x v="0"/>
    <x v="1"/>
    <x v="3"/>
    <x v="0"/>
    <x v="3"/>
    <x v="0"/>
  </r>
  <r>
    <d v="2025-08-25T00:00:00"/>
    <x v="171"/>
    <s v="VAT TRF//FRM KAFILAT AYOMIDE LAWAL TO Kafilat_x000a_Ayomide Lawal- C03"/>
    <x v="1"/>
    <s v="0.75"/>
    <s v="-"/>
    <n v="27645.52"/>
    <n v="0.75"/>
    <n v="0"/>
    <x v="0"/>
    <x v="1"/>
    <x v="3"/>
    <x v="0"/>
    <x v="3"/>
    <x v="0"/>
  </r>
  <r>
    <d v="2025-08-25T00:00:00"/>
    <x v="171"/>
    <s v="TRF//FRM KAFILAT AYOMIDE LAWAL TO KAREEM_x000a_WASIU- 033"/>
    <x v="1"/>
    <s v="5,000.00"/>
    <s v="-"/>
    <n v="22645.52"/>
    <n v="5000"/>
    <n v="0"/>
    <x v="0"/>
    <x v="1"/>
    <x v="3"/>
    <x v="0"/>
    <x v="3"/>
    <x v="0"/>
  </r>
  <r>
    <d v="2025-08-25T00:00:00"/>
    <x v="171"/>
    <s v="COMMISSION TRF//FRM KAFILAT AYOMIDE LAWAL_x000a_TO KAREEM WASIU- 033"/>
    <x v="1"/>
    <s v="10.00"/>
    <s v="-"/>
    <n v="22635.52"/>
    <n v="10"/>
    <n v="0"/>
    <x v="0"/>
    <x v="1"/>
    <x v="3"/>
    <x v="0"/>
    <x v="3"/>
    <x v="0"/>
  </r>
  <r>
    <d v="2025-08-25T00:00:00"/>
    <x v="171"/>
    <s v="VAT TRF//FRM KAFILAT AYOMIDE LAWAL TO_x000a_KAREEM WASIU- 033"/>
    <x v="1"/>
    <s v="0.75"/>
    <s v="-"/>
    <n v="22634.77"/>
    <n v="0.75"/>
    <n v="0"/>
    <x v="0"/>
    <x v="1"/>
    <x v="3"/>
    <x v="0"/>
    <x v="3"/>
    <x v="0"/>
  </r>
  <r>
    <d v="2025-08-29T00:00:00"/>
    <x v="172"/>
    <s v="POS PYMT T263721 2MP1ID0Z DCIR POS LANG"/>
    <x v="6"/>
    <s v="4,800.00"/>
    <s v="-"/>
    <n v="17834.77"/>
    <n v="4800"/>
    <n v="0"/>
    <x v="0"/>
    <x v="0"/>
    <x v="3"/>
    <x v="0"/>
    <x v="3"/>
    <x v="0"/>
  </r>
  <r>
    <d v="2025-08-30T00:00:00"/>
    <x v="40"/>
    <s v="POS PYMT TEAMAPT_LTD_MONIEPOINT LA NG"/>
    <x v="6"/>
    <s v="6,000.00"/>
    <s v="-"/>
    <n v="11834.77"/>
    <n v="6000"/>
    <n v="0"/>
    <x v="0"/>
    <x v="0"/>
    <x v="3"/>
    <x v="0"/>
    <x v="3"/>
    <x v="0"/>
  </r>
  <r>
    <d v="2025-08-30T00:00:00"/>
    <x v="40"/>
    <s v="SMS Alert Fee-29/07-28/08/2025 + VAT"/>
    <x v="4"/>
    <s v="277.35"/>
    <s v="-"/>
    <n v="11557.42"/>
    <n v="277.35000000000002"/>
    <n v="0"/>
    <x v="0"/>
    <x v="0"/>
    <x v="3"/>
    <x v="0"/>
    <x v="3"/>
    <x v="0"/>
  </r>
  <r>
    <d v="2025-08-31T00:00:00"/>
    <x v="41"/>
    <s v="Transfer from Kafilat Ayomide Lawal"/>
    <x v="2"/>
    <s v="-"/>
    <s v="7,000.00"/>
    <n v="18557.419999999998"/>
    <n v="0"/>
    <n v="7000"/>
    <x v="1"/>
    <x v="0"/>
    <x v="3"/>
    <x v="0"/>
    <x v="3"/>
    <x v="0"/>
  </r>
  <r>
    <d v="2025-08-31T00:00:00"/>
    <x v="41"/>
    <s v="TRF//FRM KAFILAT AYOMIDE LAWAL TO KAFILAT_x000a_AYOMIDE LAWAL"/>
    <x v="2"/>
    <s v="-"/>
    <s v="2,000.00"/>
    <n v="20557.419999999998"/>
    <n v="0"/>
    <n v="2000"/>
    <x v="1"/>
    <x v="0"/>
    <x v="3"/>
    <x v="0"/>
    <x v="3"/>
    <x v="0"/>
  </r>
  <r>
    <d v="2025-08-31T00:00:00"/>
    <x v="41"/>
    <s v="TRF//FRM KAFILAT AYOMIDE LAWAL TO POPOOLA,_x000a_MONSURAT OLOLADE- 033"/>
    <x v="1"/>
    <s v="20,000.00"/>
    <s v="-"/>
    <n v="557.41999999999996"/>
    <n v="20000"/>
    <n v="0"/>
    <x v="0"/>
    <x v="0"/>
    <x v="3"/>
    <x v="0"/>
    <x v="3"/>
    <x v="0"/>
  </r>
  <r>
    <d v="2025-08-31T00:00:00"/>
    <x v="41"/>
    <s v="COMMISSION TRF//FRM KAFILAT AYOMIDE LAWAL_x000a_TO POPOOLA, MONSURAT OLOLADE- 033"/>
    <x v="1"/>
    <s v="25.00"/>
    <s v="-"/>
    <n v="532.41999999999996"/>
    <n v="25"/>
    <n v="0"/>
    <x v="0"/>
    <x v="0"/>
    <x v="3"/>
    <x v="0"/>
    <x v="3"/>
    <x v="0"/>
  </r>
  <r>
    <d v="2025-08-31T00:00:00"/>
    <x v="41"/>
    <s v="VAT TRF//FRM KAFILAT AYOMIDE LAWAL TO_x000a_POPOOLA, MONSURAT OLOLADE- 033"/>
    <x v="1"/>
    <s v="1.88"/>
    <s v="-"/>
    <n v="530.54"/>
    <n v="1.88"/>
    <n v="0"/>
    <x v="0"/>
    <x v="0"/>
    <x v="3"/>
    <x v="0"/>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414381-5DCC-4905-8139-3AA9A4F1BE3B}"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fieldListSortAscending="1">
  <location ref="E1:G2" firstHeaderRow="0" firstDataRow="1" firstDataCol="0"/>
  <pivotFields count="18">
    <pivotField showAll="0"/>
    <pivotField showAll="0">
      <items count="174">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0"/>
        <item x="1"/>
        <item x="2"/>
        <item x="3"/>
        <item x="4"/>
        <item x="5"/>
        <item x="149"/>
        <item x="6"/>
        <item x="150"/>
        <item x="151"/>
        <item x="152"/>
        <item x="7"/>
        <item x="8"/>
        <item x="153"/>
        <item x="9"/>
        <item x="154"/>
        <item x="10"/>
        <item x="155"/>
        <item x="156"/>
        <item x="157"/>
        <item x="158"/>
        <item x="11"/>
        <item x="12"/>
        <item x="159"/>
        <item x="13"/>
        <item x="14"/>
        <item x="15"/>
        <item x="16"/>
        <item x="17"/>
        <item x="160"/>
        <item x="18"/>
        <item x="19"/>
        <item x="20"/>
        <item x="21"/>
        <item x="22"/>
        <item x="23"/>
        <item x="24"/>
        <item x="25"/>
        <item x="26"/>
        <item x="161"/>
        <item x="27"/>
        <item x="28"/>
        <item x="162"/>
        <item x="29"/>
        <item x="30"/>
        <item x="163"/>
        <item x="31"/>
        <item x="164"/>
        <item x="32"/>
        <item x="165"/>
        <item x="33"/>
        <item x="34"/>
        <item x="166"/>
        <item x="35"/>
        <item x="167"/>
        <item x="168"/>
        <item x="169"/>
        <item x="36"/>
        <item x="37"/>
        <item x="38"/>
        <item x="170"/>
        <item x="171"/>
        <item x="39"/>
        <item x="172"/>
        <item x="40"/>
        <item x="41"/>
        <item x="42"/>
        <item x="44"/>
        <item x="43"/>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showAll="0"/>
    <pivotField showAll="0"/>
    <pivotField showAll="0"/>
    <pivotField showAll="0"/>
    <pivotField showAll="0"/>
    <pivotField showAll="0"/>
    <pivotField showAll="0"/>
    <pivotField showAll="0">
      <items count="3">
        <item x="1"/>
        <item x="0"/>
        <item t="default"/>
      </items>
    </pivotField>
    <pivotField showAll="0">
      <items count="4">
        <item x="1"/>
        <item x="2"/>
        <item x="0"/>
        <item t="default"/>
      </items>
    </pivotField>
    <pivotField showAll="0">
      <items count="13">
        <item x="8"/>
        <item x="9"/>
        <item x="10"/>
        <item x="11"/>
        <item x="0"/>
        <item x="1"/>
        <item x="2"/>
        <item x="3"/>
        <item x="4"/>
        <item x="5"/>
        <item x="6"/>
        <item x="7"/>
        <item t="default"/>
      </items>
    </pivotField>
    <pivotField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s>
  <rowItems count="1">
    <i/>
  </rowItems>
  <colFields count="1">
    <field x="-2"/>
  </colFields>
  <colItems count="3">
    <i>
      <x/>
    </i>
    <i i="1">
      <x v="1"/>
    </i>
    <i i="2">
      <x v="2"/>
    </i>
  </colItems>
  <dataFields count="3">
    <dataField name="Sum of Total Transaction Amount" fld="15" baseField="0" baseItem="0"/>
    <dataField name="Sum of Net Movemt" fld="16" baseField="0" baseItem="0"/>
    <dataField name="Sum of Net Movement" fld="17"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163071-E8B4-4ADC-AA5E-834900008D37}" name="PivotTable1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fieldListSortAscending="1">
  <location ref="A23:C27" firstHeaderRow="0" firstDataRow="1" firstDataCol="1"/>
  <pivotFields count="18">
    <pivotField showAll="0"/>
    <pivotField showAll="0">
      <items count="174">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0"/>
        <item x="1"/>
        <item x="2"/>
        <item x="3"/>
        <item x="4"/>
        <item x="5"/>
        <item x="149"/>
        <item x="6"/>
        <item x="150"/>
        <item x="151"/>
        <item x="152"/>
        <item x="7"/>
        <item x="8"/>
        <item x="153"/>
        <item x="9"/>
        <item x="154"/>
        <item x="10"/>
        <item x="155"/>
        <item x="156"/>
        <item x="157"/>
        <item x="158"/>
        <item x="11"/>
        <item x="12"/>
        <item x="159"/>
        <item x="13"/>
        <item x="14"/>
        <item x="15"/>
        <item x="16"/>
        <item x="17"/>
        <item x="160"/>
        <item x="18"/>
        <item x="19"/>
        <item x="20"/>
        <item x="21"/>
        <item x="22"/>
        <item x="23"/>
        <item x="24"/>
        <item x="25"/>
        <item x="26"/>
        <item x="161"/>
        <item x="27"/>
        <item x="28"/>
        <item x="162"/>
        <item x="29"/>
        <item x="30"/>
        <item x="163"/>
        <item x="31"/>
        <item x="164"/>
        <item x="32"/>
        <item x="165"/>
        <item x="33"/>
        <item x="34"/>
        <item x="166"/>
        <item x="35"/>
        <item x="167"/>
        <item x="168"/>
        <item x="169"/>
        <item x="36"/>
        <item x="37"/>
        <item x="38"/>
        <item x="170"/>
        <item x="171"/>
        <item x="39"/>
        <item x="172"/>
        <item x="40"/>
        <item x="41"/>
        <item x="42"/>
        <item x="44"/>
        <item x="43"/>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showAll="0"/>
    <pivotField dataField="1" showAll="0"/>
    <pivotField showAll="0"/>
    <pivotField showAll="0"/>
    <pivotField showAll="0"/>
    <pivotField showAll="0"/>
    <pivotField showAll="0"/>
    <pivotField showAll="0">
      <items count="3">
        <item x="1"/>
        <item x="0"/>
        <item t="default"/>
      </items>
    </pivotField>
    <pivotField axis="axisRow" showAll="0">
      <items count="4">
        <item x="1"/>
        <item x="2"/>
        <item x="0"/>
        <item t="default"/>
      </items>
    </pivotField>
    <pivotField showAll="0">
      <items count="13">
        <item x="8"/>
        <item x="9"/>
        <item x="10"/>
        <item x="11"/>
        <item x="0"/>
        <item x="1"/>
        <item x="2"/>
        <item x="3"/>
        <item x="4"/>
        <item x="5"/>
        <item x="6"/>
        <item x="7"/>
        <item t="default"/>
      </items>
    </pivotField>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10"/>
  </rowFields>
  <rowItems count="4">
    <i>
      <x/>
    </i>
    <i>
      <x v="1"/>
    </i>
    <i>
      <x v="2"/>
    </i>
    <i t="grand">
      <x/>
    </i>
  </rowItems>
  <colFields count="1">
    <field x="-2"/>
  </colFields>
  <colItems count="2">
    <i>
      <x/>
    </i>
    <i i="1">
      <x v="1"/>
    </i>
  </colItems>
  <dataFields count="2">
    <dataField name="Sum of Total Transaction Amount" fld="15" baseField="0" baseItem="0"/>
    <dataField name="Count of Transaction Categories" fld="3" subtotal="count" baseField="0" baseItem="0"/>
  </dataFields>
  <formats count="2">
    <format dxfId="2">
      <pivotArea outline="0" collapsedLevelsAreSubtotals="1" fieldPosition="0"/>
    </format>
    <format dxfId="1">
      <pivotArea outline="0" collapsedLevelsAreSubtotals="1" fieldPosition="0">
        <references count="1">
          <reference field="4294967294" count="1" selected="0">
            <x v="1"/>
          </reference>
        </references>
      </pivotArea>
    </format>
  </formats>
  <chartFormats count="3">
    <chartFormat chart="0" format="5"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F1F180-4A9E-4D3C-913A-441BBB62500A}"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fieldListSortAscending="1">
  <location ref="A38:B51" firstHeaderRow="1" firstDataRow="1" firstDataCol="1"/>
  <pivotFields count="18">
    <pivotField showAll="0"/>
    <pivotField showAll="0">
      <items count="174">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0"/>
        <item x="1"/>
        <item x="2"/>
        <item x="3"/>
        <item x="4"/>
        <item x="5"/>
        <item x="149"/>
        <item x="6"/>
        <item x="150"/>
        <item x="151"/>
        <item x="152"/>
        <item x="7"/>
        <item x="8"/>
        <item x="153"/>
        <item x="9"/>
        <item x="154"/>
        <item x="10"/>
        <item x="155"/>
        <item x="156"/>
        <item x="157"/>
        <item x="158"/>
        <item x="11"/>
        <item x="12"/>
        <item x="159"/>
        <item x="13"/>
        <item x="14"/>
        <item x="15"/>
        <item x="16"/>
        <item x="17"/>
        <item x="160"/>
        <item x="18"/>
        <item x="19"/>
        <item x="20"/>
        <item x="21"/>
        <item x="22"/>
        <item x="23"/>
        <item x="24"/>
        <item x="25"/>
        <item x="26"/>
        <item x="161"/>
        <item x="27"/>
        <item x="28"/>
        <item x="162"/>
        <item x="29"/>
        <item x="30"/>
        <item x="163"/>
        <item x="31"/>
        <item x="164"/>
        <item x="32"/>
        <item x="165"/>
        <item x="33"/>
        <item x="34"/>
        <item x="166"/>
        <item x="35"/>
        <item x="167"/>
        <item x="168"/>
        <item x="169"/>
        <item x="36"/>
        <item x="37"/>
        <item x="38"/>
        <item x="170"/>
        <item x="171"/>
        <item x="39"/>
        <item x="172"/>
        <item x="40"/>
        <item x="41"/>
        <item x="42"/>
        <item x="44"/>
        <item x="43"/>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axis="axisRow" showAll="0">
      <items count="13">
        <item x="8"/>
        <item x="9"/>
        <item x="10"/>
        <item x="11"/>
        <item x="0"/>
        <item x="1"/>
        <item x="2"/>
        <item x="3"/>
        <item x="4"/>
        <item x="5"/>
        <item x="6"/>
        <item x="7"/>
        <item t="default"/>
      </items>
    </pivotField>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11"/>
  </rowFields>
  <rowItems count="13">
    <i>
      <x/>
    </i>
    <i>
      <x v="1"/>
    </i>
    <i>
      <x v="2"/>
    </i>
    <i>
      <x v="3"/>
    </i>
    <i>
      <x v="4"/>
    </i>
    <i>
      <x v="5"/>
    </i>
    <i>
      <x v="6"/>
    </i>
    <i>
      <x v="7"/>
    </i>
    <i>
      <x v="8"/>
    </i>
    <i>
      <x v="9"/>
    </i>
    <i>
      <x v="10"/>
    </i>
    <i>
      <x v="11"/>
    </i>
    <i t="grand">
      <x/>
    </i>
  </rowItems>
  <colItems count="1">
    <i/>
  </colItems>
  <dataFields count="1">
    <dataField name="Sum of Total Transaction Amount" fld="15" baseField="0" baseItem="0"/>
  </dataFields>
  <formats count="1">
    <format dxfId="3">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4F1873-22D4-48AE-82B1-9272AE25AEF3}"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fieldListSortAscending="1">
  <location ref="C1:C2" firstHeaderRow="1" firstDataRow="1" firstDataCol="0"/>
  <pivotFields count="18">
    <pivotField showAll="0"/>
    <pivotField showAll="0">
      <items count="174">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0"/>
        <item x="1"/>
        <item x="2"/>
        <item x="3"/>
        <item x="4"/>
        <item x="5"/>
        <item x="149"/>
        <item x="6"/>
        <item x="150"/>
        <item x="151"/>
        <item x="152"/>
        <item x="7"/>
        <item x="8"/>
        <item x="153"/>
        <item x="9"/>
        <item x="154"/>
        <item x="10"/>
        <item x="155"/>
        <item x="156"/>
        <item x="157"/>
        <item x="158"/>
        <item x="11"/>
        <item x="12"/>
        <item x="159"/>
        <item x="13"/>
        <item x="14"/>
        <item x="15"/>
        <item x="16"/>
        <item x="17"/>
        <item x="160"/>
        <item x="18"/>
        <item x="19"/>
        <item x="20"/>
        <item x="21"/>
        <item x="22"/>
        <item x="23"/>
        <item x="24"/>
        <item x="25"/>
        <item x="26"/>
        <item x="161"/>
        <item x="27"/>
        <item x="28"/>
        <item x="162"/>
        <item x="29"/>
        <item x="30"/>
        <item x="163"/>
        <item x="31"/>
        <item x="164"/>
        <item x="32"/>
        <item x="165"/>
        <item x="33"/>
        <item x="34"/>
        <item x="166"/>
        <item x="35"/>
        <item x="167"/>
        <item x="168"/>
        <item x="169"/>
        <item x="36"/>
        <item x="37"/>
        <item x="38"/>
        <item x="170"/>
        <item x="171"/>
        <item x="39"/>
        <item x="172"/>
        <item x="40"/>
        <item x="41"/>
        <item x="42"/>
        <item x="44"/>
        <item x="43"/>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showAll="0"/>
    <pivotField showAll="0"/>
    <pivotField showAll="0"/>
    <pivotField showAll="0"/>
    <pivotField dataField="1" showAll="0"/>
    <pivotField showAll="0"/>
    <pivotField showAll="0"/>
    <pivotField showAll="0"/>
    <pivotField showAll="0">
      <items count="4">
        <item x="1"/>
        <item x="2"/>
        <item x="0"/>
        <item t="default"/>
      </items>
    </pivotField>
    <pivotField showAll="0">
      <items count="13">
        <item x="8"/>
        <item x="9"/>
        <item x="10"/>
        <item x="11"/>
        <item x="0"/>
        <item x="1"/>
        <item x="2"/>
        <item x="3"/>
        <item x="4"/>
        <item x="5"/>
        <item x="6"/>
        <item x="7"/>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ount of Balance (NGN)" fld="6" subtotal="count" baseField="0" baseItem="9"/>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EBC115-C9A2-488F-ACF2-3AEBF29007D6}"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fieldListSortAscending="1">
  <location ref="A1:A2" firstHeaderRow="1" firstDataRow="1" firstDataCol="0"/>
  <pivotFields count="18">
    <pivotField showAll="0"/>
    <pivotField showAll="0">
      <items count="174">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0"/>
        <item x="1"/>
        <item x="2"/>
        <item x="3"/>
        <item x="4"/>
        <item x="5"/>
        <item x="149"/>
        <item x="6"/>
        <item x="150"/>
        <item x="151"/>
        <item x="152"/>
        <item x="7"/>
        <item x="8"/>
        <item x="153"/>
        <item x="9"/>
        <item x="154"/>
        <item x="10"/>
        <item x="155"/>
        <item x="156"/>
        <item x="157"/>
        <item x="158"/>
        <item x="11"/>
        <item x="12"/>
        <item x="159"/>
        <item x="13"/>
        <item x="14"/>
        <item x="15"/>
        <item x="16"/>
        <item x="17"/>
        <item x="160"/>
        <item x="18"/>
        <item x="19"/>
        <item x="20"/>
        <item x="21"/>
        <item x="22"/>
        <item x="23"/>
        <item x="24"/>
        <item x="25"/>
        <item x="26"/>
        <item x="161"/>
        <item x="27"/>
        <item x="28"/>
        <item x="162"/>
        <item x="29"/>
        <item x="30"/>
        <item x="163"/>
        <item x="31"/>
        <item x="164"/>
        <item x="32"/>
        <item x="165"/>
        <item x="33"/>
        <item x="34"/>
        <item x="166"/>
        <item x="35"/>
        <item x="167"/>
        <item x="168"/>
        <item x="169"/>
        <item x="36"/>
        <item x="37"/>
        <item x="38"/>
        <item x="170"/>
        <item x="171"/>
        <item x="39"/>
        <item x="172"/>
        <item x="40"/>
        <item x="41"/>
        <item x="42"/>
        <item x="44"/>
        <item x="43"/>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showAll="0"/>
    <pivotField showAll="0"/>
    <pivotField showAll="0"/>
    <pivotField showAll="0"/>
    <pivotField showAll="0"/>
    <pivotField showAll="0"/>
    <pivotField dataField="1" showAll="0"/>
    <pivotField showAll="0"/>
    <pivotField showAll="0">
      <items count="4">
        <item x="1"/>
        <item x="2"/>
        <item x="0"/>
        <item t="default"/>
      </items>
    </pivotField>
    <pivotField showAll="0">
      <items count="13">
        <item x="8"/>
        <item x="9"/>
        <item x="10"/>
        <item x="11"/>
        <item x="0"/>
        <item x="1"/>
        <item x="2"/>
        <item x="3"/>
        <item x="4"/>
        <item x="5"/>
        <item x="6"/>
        <item x="7"/>
        <item t="default"/>
      </items>
    </pivotField>
    <pivotField showAll="0"/>
    <pivotField showAll="0">
      <items count="13">
        <item x="8"/>
        <item x="9"/>
        <item x="10"/>
        <item x="11"/>
        <item x="0"/>
        <item x="1"/>
        <item x="2"/>
        <item x="3"/>
        <item x="4"/>
        <item x="5"/>
        <item x="6"/>
        <item x="7"/>
        <item t="default"/>
      </items>
    </pivotField>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Credit" fld="8" baseField="0" baseItem="0" numFmtId="165"/>
  </dataFields>
  <formats count="4">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2A4D5B-0557-4367-B00E-0DBD309F40DE}"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fieldListSortAscending="1">
  <location ref="A5:A6" firstHeaderRow="1" firstDataRow="1" firstDataCol="0"/>
  <pivotFields count="18">
    <pivotField showAll="0"/>
    <pivotField showAll="0">
      <items count="174">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0"/>
        <item x="1"/>
        <item x="2"/>
        <item x="3"/>
        <item x="4"/>
        <item x="5"/>
        <item x="149"/>
        <item x="6"/>
        <item x="150"/>
        <item x="151"/>
        <item x="152"/>
        <item x="7"/>
        <item x="8"/>
        <item x="153"/>
        <item x="9"/>
        <item x="154"/>
        <item x="10"/>
        <item x="155"/>
        <item x="156"/>
        <item x="157"/>
        <item x="158"/>
        <item x="11"/>
        <item x="12"/>
        <item x="159"/>
        <item x="13"/>
        <item x="14"/>
        <item x="15"/>
        <item x="16"/>
        <item x="17"/>
        <item x="160"/>
        <item x="18"/>
        <item x="19"/>
        <item x="20"/>
        <item x="21"/>
        <item x="22"/>
        <item x="23"/>
        <item x="24"/>
        <item x="25"/>
        <item x="26"/>
        <item x="161"/>
        <item x="27"/>
        <item x="28"/>
        <item x="162"/>
        <item x="29"/>
        <item x="30"/>
        <item x="163"/>
        <item x="31"/>
        <item x="164"/>
        <item x="32"/>
        <item x="165"/>
        <item x="33"/>
        <item x="34"/>
        <item x="166"/>
        <item x="35"/>
        <item x="167"/>
        <item x="168"/>
        <item x="169"/>
        <item x="36"/>
        <item x="37"/>
        <item x="38"/>
        <item x="170"/>
        <item x="171"/>
        <item x="39"/>
        <item x="172"/>
        <item x="40"/>
        <item x="41"/>
        <item x="42"/>
        <item x="44"/>
        <item x="43"/>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showAll="0"/>
    <pivotField showAll="0"/>
    <pivotField showAll="0"/>
    <pivotField showAll="0"/>
    <pivotField showAll="0"/>
    <pivotField dataField="1" showAll="0"/>
    <pivotField showAll="0"/>
    <pivotField showAll="0"/>
    <pivotField showAll="0">
      <items count="4">
        <item x="1"/>
        <item x="2"/>
        <item x="0"/>
        <item t="default"/>
      </items>
    </pivotField>
    <pivotField showAll="0">
      <items count="13">
        <item x="8"/>
        <item x="9"/>
        <item x="10"/>
        <item x="11"/>
        <item x="0"/>
        <item x="1"/>
        <item x="2"/>
        <item x="3"/>
        <item x="4"/>
        <item x="5"/>
        <item x="6"/>
        <item x="7"/>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Debit" fld="7"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669998-4725-4B42-A01B-6C6F9E67D8A2}"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fieldListSortAscending="1">
  <location ref="A31:B34" firstHeaderRow="1" firstDataRow="1" firstDataCol="1"/>
  <pivotFields count="18">
    <pivotField showAll="0"/>
    <pivotField showAll="0">
      <items count="174">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0"/>
        <item x="1"/>
        <item x="2"/>
        <item x="3"/>
        <item x="4"/>
        <item x="5"/>
        <item x="149"/>
        <item x="6"/>
        <item x="150"/>
        <item x="151"/>
        <item x="152"/>
        <item x="7"/>
        <item x="8"/>
        <item x="153"/>
        <item x="9"/>
        <item x="154"/>
        <item x="10"/>
        <item x="155"/>
        <item x="156"/>
        <item x="157"/>
        <item x="158"/>
        <item x="11"/>
        <item x="12"/>
        <item x="159"/>
        <item x="13"/>
        <item x="14"/>
        <item x="15"/>
        <item x="16"/>
        <item x="17"/>
        <item x="160"/>
        <item x="18"/>
        <item x="19"/>
        <item x="20"/>
        <item x="21"/>
        <item x="22"/>
        <item x="23"/>
        <item x="24"/>
        <item x="25"/>
        <item x="26"/>
        <item x="161"/>
        <item x="27"/>
        <item x="28"/>
        <item x="162"/>
        <item x="29"/>
        <item x="30"/>
        <item x="163"/>
        <item x="31"/>
        <item x="164"/>
        <item x="32"/>
        <item x="165"/>
        <item x="33"/>
        <item x="34"/>
        <item x="166"/>
        <item x="35"/>
        <item x="167"/>
        <item x="168"/>
        <item x="169"/>
        <item x="36"/>
        <item x="37"/>
        <item x="38"/>
        <item x="170"/>
        <item x="171"/>
        <item x="39"/>
        <item x="172"/>
        <item x="40"/>
        <item x="41"/>
        <item x="42"/>
        <item x="44"/>
        <item x="43"/>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showAll="0"/>
    <pivotField showAll="0"/>
    <pivotField showAll="0"/>
    <pivotField showAll="0"/>
    <pivotField showAll="0"/>
    <pivotField showAll="0"/>
    <pivotField showAll="0"/>
    <pivotField axis="axisRow" dataField="1" showAll="0">
      <items count="3">
        <item x="1"/>
        <item x="0"/>
        <item t="default"/>
      </items>
    </pivotField>
    <pivotField showAll="0">
      <items count="4">
        <item x="1"/>
        <item x="2"/>
        <item x="0"/>
        <item t="default"/>
      </items>
    </pivotField>
    <pivotField showAll="0">
      <items count="13">
        <item x="8"/>
        <item x="9"/>
        <item x="10"/>
        <item x="11"/>
        <item x="0"/>
        <item x="1"/>
        <item x="2"/>
        <item x="3"/>
        <item x="4"/>
        <item x="5"/>
        <item x="6"/>
        <item x="7"/>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9"/>
  </rowFields>
  <rowItems count="3">
    <i>
      <x/>
    </i>
    <i>
      <x v="1"/>
    </i>
    <i t="grand">
      <x/>
    </i>
  </rowItems>
  <colItems count="1">
    <i/>
  </colItems>
  <dataFields count="1">
    <dataField name="Count of Transaction Mode" fld="9" subtotal="count" showDataAs="percentOfTotal" baseField="9" baseItem="0" numFmtId="10"/>
  </dataFields>
  <formats count="2">
    <format dxfId="11">
      <pivotArea outline="0" collapsedLevelsAreSubtotals="1" fieldPosition="0"/>
    </format>
    <format dxfId="10">
      <pivotArea outline="0" fieldPosition="0">
        <references count="1">
          <reference field="4294967294" count="1">
            <x v="0"/>
          </reference>
        </references>
      </pivotArea>
    </format>
  </formats>
  <chartFormats count="3">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1F6D46-BEC6-46FF-96C4-5D1DE37151B4}"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fieldListSortAscending="1">
  <location ref="A10:B19" firstHeaderRow="1" firstDataRow="1" firstDataCol="1"/>
  <pivotFields count="18">
    <pivotField showAll="0"/>
    <pivotField showAll="0">
      <items count="174">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0"/>
        <item x="1"/>
        <item x="2"/>
        <item x="3"/>
        <item x="4"/>
        <item x="5"/>
        <item x="149"/>
        <item x="6"/>
        <item x="150"/>
        <item x="151"/>
        <item x="152"/>
        <item x="7"/>
        <item x="8"/>
        <item x="153"/>
        <item x="9"/>
        <item x="154"/>
        <item x="10"/>
        <item x="155"/>
        <item x="156"/>
        <item x="157"/>
        <item x="158"/>
        <item x="11"/>
        <item x="12"/>
        <item x="159"/>
        <item x="13"/>
        <item x="14"/>
        <item x="15"/>
        <item x="16"/>
        <item x="17"/>
        <item x="160"/>
        <item x="18"/>
        <item x="19"/>
        <item x="20"/>
        <item x="21"/>
        <item x="22"/>
        <item x="23"/>
        <item x="24"/>
        <item x="25"/>
        <item x="26"/>
        <item x="161"/>
        <item x="27"/>
        <item x="28"/>
        <item x="162"/>
        <item x="29"/>
        <item x="30"/>
        <item x="163"/>
        <item x="31"/>
        <item x="164"/>
        <item x="32"/>
        <item x="165"/>
        <item x="33"/>
        <item x="34"/>
        <item x="166"/>
        <item x="35"/>
        <item x="167"/>
        <item x="168"/>
        <item x="169"/>
        <item x="36"/>
        <item x="37"/>
        <item x="38"/>
        <item x="170"/>
        <item x="171"/>
        <item x="39"/>
        <item x="172"/>
        <item x="40"/>
        <item x="41"/>
        <item x="42"/>
        <item x="44"/>
        <item x="43"/>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showAll="0"/>
    <pivotField axis="axisRow" showAll="0" sortType="descending">
      <items count="9">
        <item x="0"/>
        <item x="7"/>
        <item x="3"/>
        <item x="5"/>
        <item x="6"/>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items count="13">
        <item x="8"/>
        <item x="9"/>
        <item x="10"/>
        <item x="11"/>
        <item x="0"/>
        <item x="1"/>
        <item x="2"/>
        <item x="3"/>
        <item x="4"/>
        <item x="5"/>
        <item x="6"/>
        <item x="7"/>
        <item t="default"/>
      </items>
    </pivotField>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3"/>
  </rowFields>
  <rowItems count="9">
    <i>
      <x v="6"/>
    </i>
    <i>
      <x v="5"/>
    </i>
    <i>
      <x v="1"/>
    </i>
    <i>
      <x v="4"/>
    </i>
    <i>
      <x v="2"/>
    </i>
    <i>
      <x/>
    </i>
    <i>
      <x v="3"/>
    </i>
    <i>
      <x v="7"/>
    </i>
    <i t="grand">
      <x/>
    </i>
  </rowItems>
  <colItems count="1">
    <i/>
  </colItems>
  <dataFields count="1">
    <dataField name="Sum of Total Transaction Amount" fld="15" baseField="3" baseItem="0" numFmtId="164"/>
  </dataFields>
  <formats count="2">
    <format dxfId="13">
      <pivotArea outline="0" collapsedLevelsAreSubtotals="1" fieldPosition="0"/>
    </format>
    <format dxfId="1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cessing_Lag" xr10:uid="{E9C77597-134B-4FCE-9DD2-CC8E6BD52562}" sourceName="Processing Lag">
  <pivotTables>
    <pivotTable tabId="3" name="PivotTable5"/>
    <pivotTable tabId="3" name="PivotTable10"/>
    <pivotTable tabId="3" name="PivotTable14"/>
    <pivotTable tabId="3" name="PivotTable3"/>
    <pivotTable tabId="3" name="PivotTable4"/>
    <pivotTable tabId="3" name="PivotTable6"/>
    <pivotTable tabId="3" name="PivotTable7"/>
    <pivotTable tabId="3" name="PivotTable8"/>
  </pivotTables>
  <data>
    <tabular pivotCacheId="165783966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cessing Lag" xr10:uid="{CA0731D9-39EB-47E6-86EE-53A34D663C77}" cache="Slicer_Processing_Lag" caption="Processing Lag" columnCount="2"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Value_Date" xr10:uid="{5A69E7AA-CF6B-4DB4-981E-8DE08625E14B}" sourceName="Value Date">
  <pivotTables>
    <pivotTable tabId="3" name="PivotTable6"/>
    <pivotTable tabId="3" name="PivotTable10"/>
    <pivotTable tabId="3" name="PivotTable14"/>
    <pivotTable tabId="3" name="PivotTable3"/>
    <pivotTable tabId="3" name="PivotTable4"/>
    <pivotTable tabId="3" name="PivotTable5"/>
    <pivotTable tabId="3" name="PivotTable7"/>
    <pivotTable tabId="3" name="PivotTable8"/>
  </pivotTables>
  <state minimalRefreshVersion="6" lastRefreshVersion="6" pivotCacheId="165783966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Value Date" xr10:uid="{0E93B65B-FA92-4526-96F5-AE947651847F}" cache="NativeTimeline_Value_Date" caption="Value Date" showHeader="0" showSelectionLabel="0" showTimeLevel="0" level="2" selectionLevel="2" scrollPosition="2025-04-01T00:00:00" style="TimeSlicerStyleLight3"/>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CDE96-88EE-41C0-A2DC-A7A7933EF13B}">
  <dimension ref="A1"/>
  <sheetViews>
    <sheetView workbookViewId="0"/>
  </sheetViews>
  <sheetFormatPr defaultRowHeight="14.25" x14ac:dyDescent="0.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E92F1-2E85-4AC0-ABA4-EE8DCEA59133}">
  <dimension ref="A1:G51"/>
  <sheetViews>
    <sheetView tabSelected="1" workbookViewId="0">
      <selection activeCell="B11" sqref="B11"/>
    </sheetView>
  </sheetViews>
  <sheetFormatPr defaultRowHeight="14.25" x14ac:dyDescent="0.45"/>
  <cols>
    <col min="1" max="1" width="12.06640625" bestFit="1" customWidth="1"/>
    <col min="2" max="2" width="28.265625" bestFit="1" customWidth="1"/>
    <col min="3" max="3" width="20" bestFit="1" customWidth="1"/>
    <col min="4" max="4" width="14.73046875" bestFit="1" customWidth="1"/>
    <col min="5" max="5" width="28.265625" bestFit="1" customWidth="1"/>
    <col min="6" max="6" width="17.3984375" bestFit="1" customWidth="1"/>
    <col min="7" max="8" width="19.46484375" bestFit="1" customWidth="1"/>
  </cols>
  <sheetData>
    <row r="1" spans="1:7" x14ac:dyDescent="0.45">
      <c r="A1" t="s">
        <v>12</v>
      </c>
      <c r="C1" t="s">
        <v>10</v>
      </c>
      <c r="E1" t="s">
        <v>29</v>
      </c>
      <c r="F1" t="s">
        <v>33</v>
      </c>
      <c r="G1" t="s">
        <v>34</v>
      </c>
    </row>
    <row r="2" spans="1:7" x14ac:dyDescent="0.45">
      <c r="A2" s="6">
        <v>6416654.8500000006</v>
      </c>
      <c r="C2" s="1">
        <v>605</v>
      </c>
      <c r="E2" s="4">
        <v>12836413.599999994</v>
      </c>
      <c r="F2" s="4">
        <v>3103.8999999919906</v>
      </c>
      <c r="G2" s="4">
        <v>-3103.8999999919906</v>
      </c>
    </row>
    <row r="5" spans="1:7" x14ac:dyDescent="0.45">
      <c r="A5" t="s">
        <v>11</v>
      </c>
    </row>
    <row r="6" spans="1:7" x14ac:dyDescent="0.45">
      <c r="A6" s="4">
        <v>6419758.7499999925</v>
      </c>
    </row>
    <row r="10" spans="1:7" x14ac:dyDescent="0.45">
      <c r="A10" s="2" t="s">
        <v>0</v>
      </c>
      <c r="B10" t="s">
        <v>29</v>
      </c>
      <c r="D10" t="str" cm="1">
        <f t="array" ref="D10:E18">A10:B18</f>
        <v>Row Labels</v>
      </c>
      <c r="E10" t="str">
        <v>Sum of Total Transaction Amount</v>
      </c>
    </row>
    <row r="11" spans="1:7" x14ac:dyDescent="0.45">
      <c r="A11" s="3" t="s">
        <v>7</v>
      </c>
      <c r="B11" s="4">
        <v>6364547.769999994</v>
      </c>
      <c r="D11" t="str">
        <v>Transfer Sent</v>
      </c>
      <c r="E11" s="4">
        <v>6364547.769999994</v>
      </c>
    </row>
    <row r="12" spans="1:7" x14ac:dyDescent="0.45">
      <c r="A12" s="3" t="s">
        <v>6</v>
      </c>
      <c r="B12" s="4">
        <v>5744020</v>
      </c>
      <c r="D12" t="str">
        <v>Transfer Received</v>
      </c>
      <c r="E12" s="4">
        <v>5744020</v>
      </c>
    </row>
    <row r="13" spans="1:7" x14ac:dyDescent="0.45">
      <c r="A13" s="3" t="s">
        <v>2</v>
      </c>
      <c r="B13" s="4">
        <v>586600</v>
      </c>
      <c r="D13" t="str">
        <v>ALAWEE</v>
      </c>
      <c r="E13" s="4">
        <v>586600</v>
      </c>
    </row>
    <row r="14" spans="1:7" x14ac:dyDescent="0.45">
      <c r="A14" s="3" t="s">
        <v>5</v>
      </c>
      <c r="B14" s="4">
        <v>81000</v>
      </c>
      <c r="D14" t="str">
        <v>POS</v>
      </c>
      <c r="E14" s="4">
        <v>81000</v>
      </c>
    </row>
    <row r="15" spans="1:7" x14ac:dyDescent="0.45">
      <c r="A15" s="3" t="s">
        <v>3</v>
      </c>
      <c r="B15" s="4">
        <v>43989.35</v>
      </c>
      <c r="D15" t="str">
        <v>Income</v>
      </c>
      <c r="E15" s="4">
        <v>43989.35</v>
      </c>
    </row>
    <row r="16" spans="1:7" x14ac:dyDescent="0.45">
      <c r="A16" s="3" t="s">
        <v>1</v>
      </c>
      <c r="B16" s="4">
        <v>12838.459999999988</v>
      </c>
      <c r="D16" t="str">
        <v>Airtime</v>
      </c>
      <c r="E16" s="4">
        <v>12838.459999999988</v>
      </c>
    </row>
    <row r="17" spans="1:5" x14ac:dyDescent="0.45">
      <c r="A17" s="3" t="s">
        <v>4</v>
      </c>
      <c r="B17" s="4">
        <v>1750.06</v>
      </c>
      <c r="D17" t="str">
        <v>Others</v>
      </c>
      <c r="E17" s="4">
        <v>1750.06</v>
      </c>
    </row>
    <row r="18" spans="1:5" x14ac:dyDescent="0.45">
      <c r="A18" s="3" t="s">
        <v>8</v>
      </c>
      <c r="B18" s="4">
        <v>1667.96</v>
      </c>
      <c r="D18" t="str">
        <v>VAT</v>
      </c>
      <c r="E18" s="4">
        <v>1667.96</v>
      </c>
    </row>
    <row r="19" spans="1:5" x14ac:dyDescent="0.45">
      <c r="A19" s="3" t="s">
        <v>9</v>
      </c>
      <c r="B19" s="4">
        <v>12836413.599999996</v>
      </c>
    </row>
    <row r="23" spans="1:5" x14ac:dyDescent="0.45">
      <c r="A23" s="2" t="s">
        <v>0</v>
      </c>
      <c r="B23" t="s">
        <v>29</v>
      </c>
      <c r="C23" t="s">
        <v>13</v>
      </c>
    </row>
    <row r="24" spans="1:5" x14ac:dyDescent="0.45">
      <c r="A24" s="3" t="s">
        <v>30</v>
      </c>
      <c r="B24" s="4">
        <v>134061.52000000002</v>
      </c>
      <c r="C24" s="1">
        <v>44</v>
      </c>
    </row>
    <row r="25" spans="1:5" x14ac:dyDescent="0.45">
      <c r="A25" s="3" t="s">
        <v>31</v>
      </c>
      <c r="B25" s="4">
        <v>4700.0599999999995</v>
      </c>
      <c r="C25" s="1">
        <v>13</v>
      </c>
    </row>
    <row r="26" spans="1:5" x14ac:dyDescent="0.45">
      <c r="A26" s="3" t="s">
        <v>32</v>
      </c>
      <c r="B26" s="4">
        <v>12697652.019999992</v>
      </c>
      <c r="C26" s="1">
        <v>548</v>
      </c>
    </row>
    <row r="27" spans="1:5" x14ac:dyDescent="0.45">
      <c r="A27" s="3" t="s">
        <v>9</v>
      </c>
      <c r="B27" s="4">
        <v>12836413.599999994</v>
      </c>
      <c r="C27" s="1">
        <v>605</v>
      </c>
    </row>
    <row r="31" spans="1:5" x14ac:dyDescent="0.45">
      <c r="A31" s="2" t="s">
        <v>0</v>
      </c>
      <c r="B31" t="s">
        <v>14</v>
      </c>
    </row>
    <row r="32" spans="1:5" x14ac:dyDescent="0.45">
      <c r="A32" s="3" t="s">
        <v>27</v>
      </c>
      <c r="B32" s="5">
        <v>0.14214876033057852</v>
      </c>
    </row>
    <row r="33" spans="1:2" x14ac:dyDescent="0.45">
      <c r="A33" s="3" t="s">
        <v>28</v>
      </c>
      <c r="B33" s="5">
        <v>0.85785123966942145</v>
      </c>
    </row>
    <row r="34" spans="1:2" x14ac:dyDescent="0.45">
      <c r="A34" s="3" t="s">
        <v>9</v>
      </c>
      <c r="B34" s="5">
        <v>1</v>
      </c>
    </row>
    <row r="38" spans="1:2" x14ac:dyDescent="0.45">
      <c r="A38" s="2" t="s">
        <v>0</v>
      </c>
      <c r="B38" t="s">
        <v>29</v>
      </c>
    </row>
    <row r="39" spans="1:2" x14ac:dyDescent="0.45">
      <c r="A39" s="3" t="s">
        <v>15</v>
      </c>
      <c r="B39" s="4">
        <v>19044.41</v>
      </c>
    </row>
    <row r="40" spans="1:2" x14ac:dyDescent="0.45">
      <c r="A40" s="3" t="s">
        <v>16</v>
      </c>
      <c r="B40" s="4">
        <v>74140.45</v>
      </c>
    </row>
    <row r="41" spans="1:2" x14ac:dyDescent="0.45">
      <c r="A41" s="3" t="s">
        <v>17</v>
      </c>
      <c r="B41" s="4">
        <v>245557.65</v>
      </c>
    </row>
    <row r="42" spans="1:2" x14ac:dyDescent="0.45">
      <c r="A42" s="3" t="s">
        <v>18</v>
      </c>
      <c r="B42" s="4">
        <v>12768.9</v>
      </c>
    </row>
    <row r="43" spans="1:2" x14ac:dyDescent="0.45">
      <c r="A43" s="3" t="s">
        <v>19</v>
      </c>
      <c r="B43" s="4">
        <v>411896.43000000005</v>
      </c>
    </row>
    <row r="44" spans="1:2" x14ac:dyDescent="0.45">
      <c r="A44" s="3" t="s">
        <v>20</v>
      </c>
      <c r="B44" s="4">
        <v>407113.26</v>
      </c>
    </row>
    <row r="45" spans="1:2" x14ac:dyDescent="0.45">
      <c r="A45" s="3" t="s">
        <v>21</v>
      </c>
      <c r="B45" s="4">
        <v>4334741.7899999991</v>
      </c>
    </row>
    <row r="46" spans="1:2" x14ac:dyDescent="0.45">
      <c r="A46" s="3" t="s">
        <v>22</v>
      </c>
      <c r="B46" s="4">
        <v>2028567.6900000002</v>
      </c>
    </row>
    <row r="47" spans="1:2" x14ac:dyDescent="0.45">
      <c r="A47" s="3" t="s">
        <v>23</v>
      </c>
      <c r="B47" s="4">
        <v>2266294.3699999992</v>
      </c>
    </row>
    <row r="48" spans="1:2" x14ac:dyDescent="0.45">
      <c r="A48" s="3" t="s">
        <v>24</v>
      </c>
      <c r="B48" s="4">
        <v>2894085.6999999993</v>
      </c>
    </row>
    <row r="49" spans="1:2" x14ac:dyDescent="0.45">
      <c r="A49" s="3" t="s">
        <v>25</v>
      </c>
      <c r="B49" s="4">
        <v>73970.930000000008</v>
      </c>
    </row>
    <row r="50" spans="1:2" x14ac:dyDescent="0.45">
      <c r="A50" s="3" t="s">
        <v>26</v>
      </c>
      <c r="B50" s="4">
        <v>68232.02</v>
      </c>
    </row>
    <row r="51" spans="1:2" x14ac:dyDescent="0.45">
      <c r="A51" s="3" t="s">
        <v>9</v>
      </c>
      <c r="B51" s="4">
        <v>12836413.600000005</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161FD-251B-4C6A-9F12-CF1299C49EC3}">
  <dimension ref="A13"/>
  <sheetViews>
    <sheetView showGridLines="0" zoomScale="53" zoomScaleNormal="53" workbookViewId="0">
      <selection activeCell="G17" sqref="G17"/>
    </sheetView>
  </sheetViews>
  <sheetFormatPr defaultRowHeight="14.25" x14ac:dyDescent="0.45"/>
  <cols>
    <col min="1" max="16384" width="9.06640625" style="7"/>
  </cols>
  <sheetData>
    <row r="13" s="7" customFormat="1" ht="13.9"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2A5F57-DC5A-4501-BF1C-DC70EEF0B3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All_account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2025-11-13T18:20:08Z</dcterms:created>
  <dcterms:modified xsi:type="dcterms:W3CDTF">2025-11-16T11:33:13Z</dcterms:modified>
</cp:coreProperties>
</file>